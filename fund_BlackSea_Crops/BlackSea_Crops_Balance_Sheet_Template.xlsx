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Agencies" sheetId="1" state="visible" r:id="rId1"/>
    <sheet name="Russia S&amp;D (USDA PSD)" sheetId="2" state="visible" r:id="rId2"/>
    <sheet name="Ukraine S&amp;D (USDA PSD)" sheetId="3" state="visible" r:id="rId3"/>
    <sheet name="Kazakhstan S&amp;D (USDA PSD)" sheetId="4" state="visible" r:id="rId4"/>
    <sheet name="Monthly Export Pace" sheetId="5" state="visible" r:id="rId5"/>
    <sheet name="Agency Revision Ledger" sheetId="6" state="visible" r:id="rId6"/>
    <sheet name="RU Export Tax &amp; Pr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+0.000;-0.000;0.000"/>
    <numFmt numFmtId="167" formatCode="#,##0.0"/>
    <numFmt numFmtId="168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sz val="12"/>
    </font>
    <font>
      <name val="Calibri"/>
      <b val="1"/>
      <color rgb="000F172A"/>
      <sz val="13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1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2" fillId="0" borderId="1" pivotButton="0" quotePrefix="0" xfId="0"/>
    <xf numFmtId="2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4" fillId="4" borderId="2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3" fontId="0" fillId="0" borderId="1" pivotButton="0" quotePrefix="0" xfId="0"/>
    <xf numFmtId="3" fontId="4" fillId="4" borderId="1" pivotButton="0" quotePrefix="0" xfId="0"/>
    <xf numFmtId="3" fontId="4" fillId="5" borderId="2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BLACK SEA CROPS SUPPLY, DEMAND &amp; EXPORT INTELLIGENCE WORKBOOK</t>
        </is>
      </c>
    </row>
    <row r="2">
      <c r="A2" s="2" t="inlineStr">
        <is>
          <t>Last Updated: 2026-10-12 | Primary Unit: Million Metric Tons (MMT) | 100% Official &amp; Verified Consultancy Sources</t>
        </is>
      </c>
    </row>
    <row r="4">
      <c r="A4" s="3" t="inlineStr">
        <is>
          <t>Agency / Source</t>
        </is>
      </c>
      <c r="B4" s="3" t="inlineStr">
        <is>
          <t>Country / Basin</t>
        </is>
      </c>
      <c r="C4" s="3" t="inlineStr">
        <is>
          <t>Market Role, Coverage &amp; Methodology</t>
        </is>
      </c>
    </row>
    <row r="5">
      <c r="A5" s="4" t="inlineStr">
        <is>
          <t>USDA FAS (PSD)</t>
        </is>
      </c>
      <c r="B5" s="5" t="inlineStr">
        <is>
          <t>Global / US</t>
        </is>
      </c>
      <c r="C5" s="5" t="inlineStr">
        <is>
          <t>Official 1960–2026/27 S&amp;D Benchmark (Excl. Crimea &amp; Occupied Oblasts for Russia)</t>
        </is>
      </c>
    </row>
    <row r="6">
      <c r="A6" s="4" t="inlineStr">
        <is>
          <t>IKAR</t>
        </is>
      </c>
      <c r="B6" s="5" t="inlineStr">
        <is>
          <t>Russia 🇷🇺</t>
        </is>
      </c>
      <c r="C6" s="5" t="inlineStr">
        <is>
          <t>Institute for Agricultural Market Studies (Dmitry Rylko) — Russian Crop, Export Potential &amp; FOB Price Benchmark</t>
        </is>
      </c>
    </row>
    <row r="7">
      <c r="A7" s="4" t="inlineStr">
        <is>
          <t>SovEcon</t>
        </is>
      </c>
      <c r="B7" s="5" t="inlineStr">
        <is>
          <t>Russia 🇷🇺</t>
        </is>
      </c>
      <c r="C7" s="5" t="inlineStr">
        <is>
          <t>Leading Russian Ag Consultancy (Andrey Sizov) — Crop Forecasts, Monthly Export Series &amp; Domestic CPT/Ex-Works Prices</t>
        </is>
      </c>
    </row>
    <row r="8">
      <c r="A8" s="4" t="inlineStr">
        <is>
          <t>Rusagrotrans</t>
        </is>
      </c>
      <c r="B8" s="5" t="inlineStr">
        <is>
          <t>Russia 🇷🇺</t>
        </is>
      </c>
      <c r="C8" s="5" t="inlineStr">
        <is>
          <t>Russian Grain Rail &amp; Port Terminal Operator (Igor Pavensky) — Rail Deliveries, Port Lineups &amp; Crop Balances</t>
        </is>
      </c>
    </row>
    <row r="9">
      <c r="A9" s="4" t="inlineStr">
        <is>
          <t>ProZerno</t>
        </is>
      </c>
      <c r="B9" s="5" t="inlineStr">
        <is>
          <t>Russia 🇷🇺</t>
        </is>
      </c>
      <c r="C9" s="5" t="inlineStr">
        <is>
          <t>Russian Grain &amp; Oilseed Analytics (Vladimir Petrichenko) — Regional Yields, Spring Wheat Acreage &amp; Crush</t>
        </is>
      </c>
    </row>
    <row r="10">
      <c r="A10" s="4" t="inlineStr">
        <is>
          <t>MinSelkhoz</t>
        </is>
      </c>
      <c r="B10" s="5" t="inlineStr">
        <is>
          <t>Russia 🇷🇺</t>
        </is>
      </c>
      <c r="C10" s="5" t="inlineStr">
        <is>
          <t>Ministry of Agriculture of the Russian Federation — Weekly Floating Export Taxes &amp; H2 Export Quotas</t>
        </is>
      </c>
    </row>
    <row r="11">
      <c r="A11" s="4" t="inlineStr">
        <is>
          <t>APK-Inform</t>
        </is>
      </c>
      <c r="B11" s="5" t="inlineStr">
        <is>
          <t>Ukraine 🇺🇦</t>
        </is>
      </c>
      <c r="C11" s="5" t="inlineStr">
        <is>
          <t>Premier Ukrainian &amp; Black Sea Ag Consultancy — Full Grain &amp; Oilseed S&amp;D Balances, Weekly Port/Rail Exports &amp; Stocks</t>
        </is>
      </c>
    </row>
    <row r="12">
      <c r="A12" s="4" t="inlineStr">
        <is>
          <t>Minagro &amp; State Customs</t>
        </is>
      </c>
      <c r="B12" s="5" t="inlineStr">
        <is>
          <t>Ukraine 🇺🇦</t>
        </is>
      </c>
      <c r="C12" s="5" t="inlineStr">
        <is>
          <t>Ministry of Agrarian Policy &amp; Food of Ukraine — Official Crop Forecasts &amp; Customs Export Declarations</t>
        </is>
      </c>
    </row>
    <row r="13">
      <c r="A13" s="4" t="inlineStr">
        <is>
          <t>Ukrzaliznytsia</t>
        </is>
      </c>
      <c r="B13" s="5" t="inlineStr">
        <is>
          <t>Ukraine 🇺🇦</t>
        </is>
      </c>
      <c r="C13" s="5" t="inlineStr">
        <is>
          <t>Ukrainian State Railways — Rail Grain Deliveries to Western EU Land Crossings vs Danube River Terminals</t>
        </is>
      </c>
    </row>
    <row r="14">
      <c r="A14" s="4" t="inlineStr">
        <is>
          <t>UkrAgroConsult &amp; UGA</t>
        </is>
      </c>
      <c r="B14" s="5" t="inlineStr">
        <is>
          <t>Ukraine 🇺🇦</t>
        </is>
      </c>
      <c r="C14" s="5" t="inlineStr">
        <is>
          <t>Ukrainian Grain Association &amp; Consultancy — Seasonal Export Potential &amp; Port Corridor Analytics</t>
        </is>
      </c>
    </row>
    <row r="17">
      <c r="A17" s="6" t="inlineStr">
        <is>
          <t>UKRAINE APK-INFORM OFFICIAL S&amp;D BALANCES (MMT) — SEPT 14 vs OCT 12, 2026 RELEASES</t>
        </is>
      </c>
    </row>
    <row r="18">
      <c r="A18" s="7" t="inlineStr">
        <is>
          <t>Commodity</t>
        </is>
      </c>
      <c r="B18" s="7" t="inlineStr">
        <is>
          <t>Marketing Year</t>
        </is>
      </c>
      <c r="C18" s="7" t="inlineStr">
        <is>
          <t>Agency Release</t>
        </is>
      </c>
      <c r="D18" s="7" t="inlineStr">
        <is>
          <t>Beg. Stocks</t>
        </is>
      </c>
      <c r="E18" s="7" t="inlineStr">
        <is>
          <t>Harvest (Prod)</t>
        </is>
      </c>
      <c r="F18" s="7" t="inlineStr">
        <is>
          <t>Total Supply (Formula)</t>
        </is>
      </c>
      <c r="G18" s="7" t="inlineStr">
        <is>
          <t>Consumption</t>
        </is>
      </c>
      <c r="H18" s="7" t="inlineStr">
        <is>
          <t>Exports</t>
        </is>
      </c>
      <c r="I18" s="7" t="inlineStr">
        <is>
          <t>Total Use (Formula)</t>
        </is>
      </c>
      <c r="J18" s="7" t="inlineStr">
        <is>
          <t>Reported End Stocks</t>
        </is>
      </c>
      <c r="K18" s="7" t="inlineStr">
        <is>
          <t>Calc End Stocks (Formula)</t>
        </is>
      </c>
      <c r="L18" s="7" t="inlineStr">
        <is>
          <t>Source Residual</t>
        </is>
      </c>
    </row>
    <row r="19">
      <c r="A19" s="4" t="inlineStr">
        <is>
          <t>Total Grains</t>
        </is>
      </c>
      <c r="B19" s="5" t="inlineStr">
        <is>
          <t>2025/26</t>
        </is>
      </c>
      <c r="C19" s="5" t="inlineStr">
        <is>
          <t>APK-Inform (Oct 12)</t>
        </is>
      </c>
      <c r="D19" s="8" t="n">
        <v>7.062</v>
      </c>
      <c r="E19" s="8" t="n">
        <v>61.045</v>
      </c>
      <c r="F19" s="8">
        <f>D19+E19</f>
        <v/>
      </c>
      <c r="G19" s="8" t="n">
        <v>18.406</v>
      </c>
      <c r="H19" s="8" t="n">
        <v>38.17</v>
      </c>
      <c r="I19" s="8">
        <f>G19+H19</f>
        <v/>
      </c>
      <c r="J19" s="8" t="n">
        <v>11.648</v>
      </c>
      <c r="K19" s="8">
        <f>F19-I19</f>
        <v/>
      </c>
      <c r="L19" s="8">
        <f>J19-K19</f>
        <v/>
      </c>
    </row>
    <row r="20">
      <c r="A20" s="4" t="inlineStr">
        <is>
          <t>Total Grains</t>
        </is>
      </c>
      <c r="B20" s="5" t="inlineStr">
        <is>
          <t>2026/27</t>
        </is>
      </c>
      <c r="C20" s="5" t="inlineStr">
        <is>
          <t>APK-Inform (Oct 12)</t>
        </is>
      </c>
      <c r="D20" s="8" t="n">
        <v>11.648</v>
      </c>
      <c r="E20" s="8" t="n">
        <v>65.32299999999999</v>
      </c>
      <c r="F20" s="8">
        <f>D20+E20</f>
        <v/>
      </c>
      <c r="G20" s="8" t="n">
        <v>18.389</v>
      </c>
      <c r="H20" s="8" t="n">
        <v>31.706</v>
      </c>
      <c r="I20" s="8">
        <f>G20+H20</f>
        <v/>
      </c>
      <c r="J20" s="8" t="n">
        <v>26.996</v>
      </c>
      <c r="K20" s="8">
        <f>F20-I20</f>
        <v/>
      </c>
      <c r="L20" s="8">
        <f>J20-K20</f>
        <v/>
      </c>
    </row>
    <row r="21">
      <c r="A21" s="4" t="inlineStr">
        <is>
          <t>Wheat</t>
        </is>
      </c>
      <c r="B21" s="5" t="inlineStr">
        <is>
          <t>2025/26</t>
        </is>
      </c>
      <c r="C21" s="5" t="inlineStr">
        <is>
          <t>APK-Inform (Oct 12)</t>
        </is>
      </c>
      <c r="D21" s="8" t="n">
        <v>1.584</v>
      </c>
      <c r="E21" s="8" t="n">
        <v>23.344</v>
      </c>
      <c r="F21" s="8">
        <f>D21+E21</f>
        <v/>
      </c>
      <c r="G21" s="8" t="n">
        <v>6.83</v>
      </c>
      <c r="H21" s="8" t="n">
        <v>13.984</v>
      </c>
      <c r="I21" s="8">
        <f>G21+H21</f>
        <v/>
      </c>
      <c r="J21" s="8" t="n">
        <v>1.584</v>
      </c>
      <c r="K21" s="8">
        <f>F21-I21</f>
        <v/>
      </c>
      <c r="L21" s="8">
        <f>J21-K21</f>
        <v/>
      </c>
    </row>
    <row r="22">
      <c r="A22" s="4" t="inlineStr">
        <is>
          <t>Wheat</t>
        </is>
      </c>
      <c r="B22" s="5" t="inlineStr">
        <is>
          <t>2026/27</t>
        </is>
      </c>
      <c r="C22" s="5" t="inlineStr">
        <is>
          <t>APK-Inform (Oct 12)</t>
        </is>
      </c>
      <c r="D22" s="8" t="n">
        <v>1.584</v>
      </c>
      <c r="E22" s="8" t="n">
        <v>25.522</v>
      </c>
      <c r="F22" s="8">
        <f>D22+E22</f>
        <v/>
      </c>
      <c r="G22" s="8" t="n">
        <v>6.9</v>
      </c>
      <c r="H22" s="8" t="n">
        <v>10.5</v>
      </c>
      <c r="I22" s="8">
        <f>G22+H22</f>
        <v/>
      </c>
      <c r="J22" s="8" t="n">
        <v>12.239</v>
      </c>
      <c r="K22" s="8">
        <f>F22-I22</f>
        <v/>
      </c>
      <c r="L22" s="8">
        <f>J22-K22</f>
        <v/>
      </c>
    </row>
    <row r="23">
      <c r="A23" s="4" t="inlineStr">
        <is>
          <t>Corn</t>
        </is>
      </c>
      <c r="B23" s="5" t="inlineStr">
        <is>
          <t>2025/26</t>
        </is>
      </c>
      <c r="C23" s="5" t="inlineStr">
        <is>
          <t>APK-Inform (Oct 12)</t>
        </is>
      </c>
      <c r="D23" s="8" t="n">
        <v>4.058</v>
      </c>
      <c r="E23" s="8" t="n">
        <v>30.881</v>
      </c>
      <c r="F23" s="8">
        <f>D23+E23</f>
        <v/>
      </c>
      <c r="G23" s="8" t="n">
        <v>7</v>
      </c>
      <c r="H23" s="8" t="n">
        <v>22.237</v>
      </c>
      <c r="I23" s="8">
        <f>G23+H23</f>
        <v/>
      </c>
      <c r="J23" s="8" t="n">
        <v>5.719</v>
      </c>
      <c r="K23" s="8">
        <f>F23-I23</f>
        <v/>
      </c>
      <c r="L23" s="8">
        <f>J23-K23</f>
        <v/>
      </c>
    </row>
    <row r="24">
      <c r="A24" s="4" t="inlineStr">
        <is>
          <t>Corn</t>
        </is>
      </c>
      <c r="B24" s="5" t="inlineStr">
        <is>
          <t>2026/27</t>
        </is>
      </c>
      <c r="C24" s="5" t="inlineStr">
        <is>
          <t>APK-Inform (Oct 12)</t>
        </is>
      </c>
      <c r="D24" s="8" t="n">
        <v>5.719</v>
      </c>
      <c r="E24" s="8" t="n">
        <v>31.849</v>
      </c>
      <c r="F24" s="8">
        <f>D24+E24</f>
        <v/>
      </c>
      <c r="G24" s="8" t="n">
        <v>6.8</v>
      </c>
      <c r="H24" s="8" t="n">
        <v>20</v>
      </c>
      <c r="I24" s="8">
        <f>G24+H24</f>
        <v/>
      </c>
      <c r="J24" s="8" t="n">
        <v>10.783</v>
      </c>
      <c r="K24" s="8">
        <f>F24-I24</f>
        <v/>
      </c>
      <c r="L24" s="8">
        <f>J24-K24</f>
        <v/>
      </c>
    </row>
    <row r="25">
      <c r="A25" s="4" t="inlineStr">
        <is>
          <t>Total Grains</t>
        </is>
      </c>
      <c r="B25" s="5" t="inlineStr">
        <is>
          <t>2025/26</t>
        </is>
      </c>
      <c r="C25" s="5" t="inlineStr">
        <is>
          <t>APK-Inform (Sep 14)</t>
        </is>
      </c>
      <c r="D25" s="8" t="n">
        <v>7.062</v>
      </c>
      <c r="E25" s="8" t="n">
        <v>61.045</v>
      </c>
      <c r="F25" s="8">
        <f>D25+E25</f>
        <v/>
      </c>
      <c r="G25" s="8" t="n">
        <v>18.406</v>
      </c>
      <c r="H25" s="8" t="n">
        <v>38.233</v>
      </c>
      <c r="I25" s="8">
        <f>G25+H25</f>
        <v/>
      </c>
      <c r="J25" s="8" t="n">
        <v>11.585</v>
      </c>
      <c r="K25" s="8">
        <f>F25-I25</f>
        <v/>
      </c>
      <c r="L25" s="8">
        <f>J25-K25</f>
        <v/>
      </c>
    </row>
    <row r="26">
      <c r="A26" s="4" t="inlineStr">
        <is>
          <t>Total Grains</t>
        </is>
      </c>
      <c r="B26" s="5" t="inlineStr">
        <is>
          <t>2026/27</t>
        </is>
      </c>
      <c r="C26" s="5" t="inlineStr">
        <is>
          <t>APK-Inform (Sep 14)</t>
        </is>
      </c>
      <c r="D26" s="8" t="n">
        <v>11.585</v>
      </c>
      <c r="E26" s="8" t="n">
        <v>65.249</v>
      </c>
      <c r="F26" s="8">
        <f>D26+E26</f>
        <v/>
      </c>
      <c r="G26" s="8" t="n">
        <v>18.389</v>
      </c>
      <c r="H26" s="8" t="n">
        <v>33.869</v>
      </c>
      <c r="I26" s="8">
        <f>G26+H26</f>
        <v/>
      </c>
      <c r="J26" s="8" t="n">
        <v>24.696</v>
      </c>
      <c r="K26" s="8">
        <f>F26-I26</f>
        <v/>
      </c>
      <c r="L26" s="8">
        <f>J26-K26</f>
        <v/>
      </c>
    </row>
    <row r="27">
      <c r="A27" s="4" t="inlineStr">
        <is>
          <t>Wheat</t>
        </is>
      </c>
      <c r="B27" s="5" t="inlineStr">
        <is>
          <t>2026/27</t>
        </is>
      </c>
      <c r="C27" s="5" t="inlineStr">
        <is>
          <t>APK-Inform (Sep 14)</t>
        </is>
      </c>
      <c r="D27" s="8" t="n">
        <v>1.584</v>
      </c>
      <c r="E27" s="8" t="n">
        <v>25.021</v>
      </c>
      <c r="F27" s="8">
        <f>D27+E27</f>
        <v/>
      </c>
      <c r="G27" s="8" t="n">
        <v>6.9</v>
      </c>
      <c r="H27" s="8" t="n">
        <v>10.5</v>
      </c>
      <c r="I27" s="8">
        <f>G27+H27</f>
        <v/>
      </c>
      <c r="J27" s="8" t="n">
        <v>11.738</v>
      </c>
      <c r="K27" s="8">
        <f>F27-I27</f>
        <v/>
      </c>
      <c r="L27" s="8">
        <f>J27-K27</f>
        <v/>
      </c>
    </row>
    <row r="28">
      <c r="A28" s="4" t="inlineStr">
        <is>
          <t>Corn</t>
        </is>
      </c>
      <c r="B28" s="5" t="inlineStr">
        <is>
          <t>2026/27</t>
        </is>
      </c>
      <c r="C28" s="5" t="inlineStr">
        <is>
          <t>APK-Inform (Sep 14)</t>
        </is>
      </c>
      <c r="D28" s="8" t="n">
        <v>5.656</v>
      </c>
      <c r="E28" s="8" t="n">
        <v>32.307</v>
      </c>
      <c r="F28" s="8">
        <f>D28+E28</f>
        <v/>
      </c>
      <c r="G28" s="8" t="n">
        <v>6.8</v>
      </c>
      <c r="H28" s="8" t="n">
        <v>22</v>
      </c>
      <c r="I28" s="8">
        <f>G28+H28</f>
        <v/>
      </c>
      <c r="J28" s="8" t="n">
        <v>9.178000000000001</v>
      </c>
      <c r="K28" s="8">
        <f>F28-I28</f>
        <v/>
      </c>
      <c r="L28" s="8">
        <f>J28-K28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9" t="inlineStr">
        <is>
          <t>Russia S&amp;D (USDA PSD) — Official USDA FAS PSD Balance Sheets (Million Metric Tons, MMT)</t>
        </is>
      </c>
    </row>
    <row r="2">
      <c r="A2" s="2" t="inlineStr">
        <is>
          <t>100% Official USDA FAS PSD Data | Total Supply, Total Disappearance &amp; Stocks-to-Use % are Formula-Driven</t>
        </is>
      </c>
    </row>
    <row r="4">
      <c r="A4" s="10" t="inlineStr">
        <is>
          <t>RU — TOTAL GRAINS BALANCE SHEET (MMT)</t>
        </is>
      </c>
      <c r="B4" s="11" t="inlineStr">
        <is>
          <t>Unit / Formula</t>
        </is>
      </c>
      <c r="C4" s="11" t="inlineStr">
        <is>
          <t>2015/16</t>
        </is>
      </c>
      <c r="D4" s="11" t="inlineStr">
        <is>
          <t>2016/17</t>
        </is>
      </c>
      <c r="E4" s="11" t="inlineStr">
        <is>
          <t>2017/18</t>
        </is>
      </c>
      <c r="F4" s="11" t="inlineStr">
        <is>
          <t>2018/19</t>
        </is>
      </c>
      <c r="G4" s="11" t="inlineStr">
        <is>
          <t>2019/20</t>
        </is>
      </c>
      <c r="H4" s="11" t="inlineStr">
        <is>
          <t>2020/21</t>
        </is>
      </c>
      <c r="I4" s="11" t="inlineStr">
        <is>
          <t>2021/22</t>
        </is>
      </c>
      <c r="J4" s="11" t="inlineStr">
        <is>
          <t>2022/23</t>
        </is>
      </c>
      <c r="K4" s="11" t="inlineStr">
        <is>
          <t>2023/24</t>
        </is>
      </c>
      <c r="L4" s="11" t="inlineStr">
        <is>
          <t>2024/25</t>
        </is>
      </c>
      <c r="M4" s="11" t="inlineStr">
        <is>
          <t>2025/26</t>
        </is>
      </c>
      <c r="N4" s="11" t="inlineStr">
        <is>
          <t>2026/27</t>
        </is>
      </c>
    </row>
    <row r="5">
      <c r="A5" s="5" t="inlineStr">
        <is>
          <t>Area Harvested</t>
        </is>
      </c>
      <c r="B5" s="12" t="inlineStr">
        <is>
          <t>Million Ha (Mha)</t>
        </is>
      </c>
      <c r="C5" s="13" t="n">
        <v>36.29</v>
      </c>
      <c r="D5" s="13" t="n">
        <v>37.736</v>
      </c>
      <c r="E5" s="13" t="n">
        <v>37.778</v>
      </c>
      <c r="F5" s="13" t="n">
        <v>36.501</v>
      </c>
      <c r="G5" s="13" t="n">
        <v>38.219</v>
      </c>
      <c r="H5" s="13" t="n">
        <v>39.574</v>
      </c>
      <c r="I5" s="13" t="n">
        <v>38.218</v>
      </c>
      <c r="J5" s="13" t="n">
        <v>39.39</v>
      </c>
      <c r="K5" s="13" t="n">
        <v>38.88</v>
      </c>
      <c r="L5" s="13" t="n">
        <v>37.1</v>
      </c>
      <c r="M5" s="13" t="n">
        <v>35</v>
      </c>
      <c r="N5" s="13" t="n">
        <v>34.1</v>
      </c>
    </row>
    <row r="6">
      <c r="A6" s="5" t="inlineStr">
        <is>
          <t>Yield</t>
        </is>
      </c>
      <c r="B6" s="12" t="inlineStr">
        <is>
          <t>MT / Ha</t>
        </is>
      </c>
      <c r="C6" s="13" t="n">
        <v>2.52</v>
      </c>
      <c r="D6" s="13" t="n">
        <v>2.79</v>
      </c>
      <c r="E6" s="13" t="n">
        <v>3.14</v>
      </c>
      <c r="F6" s="13" t="n">
        <v>2.74</v>
      </c>
      <c r="G6" s="13" t="n">
        <v>2.82</v>
      </c>
      <c r="H6" s="13" t="n">
        <v>3.03</v>
      </c>
      <c r="I6" s="13" t="n">
        <v>2.82</v>
      </c>
      <c r="J6" s="13" t="n">
        <v>3.28</v>
      </c>
      <c r="K6" s="13" t="n">
        <v>3.31</v>
      </c>
      <c r="L6" s="13" t="n">
        <v>3.01</v>
      </c>
      <c r="M6" s="13" t="n">
        <v>3.56</v>
      </c>
      <c r="N6" s="13" t="n">
        <v>3.64</v>
      </c>
    </row>
    <row r="7">
      <c r="A7" s="4" t="inlineStr">
        <is>
          <t>Beginning Stocks</t>
        </is>
      </c>
      <c r="B7" s="12" t="inlineStr">
        <is>
          <t>MMT</t>
        </is>
      </c>
      <c r="C7" s="14" t="n">
        <v>8.545</v>
      </c>
      <c r="D7" s="14" t="n">
        <v>6.902</v>
      </c>
      <c r="E7" s="14" t="n">
        <v>12.441</v>
      </c>
      <c r="F7" s="14" t="n">
        <v>12.955</v>
      </c>
      <c r="G7" s="14" t="n">
        <v>8.795</v>
      </c>
      <c r="H7" s="14" t="n">
        <v>8.801</v>
      </c>
      <c r="I7" s="14" t="n">
        <v>12.888</v>
      </c>
      <c r="J7" s="14" t="n">
        <v>13.726</v>
      </c>
      <c r="K7" s="14" t="n">
        <v>16.358</v>
      </c>
      <c r="L7" s="14" t="n">
        <v>13.158</v>
      </c>
      <c r="M7" s="14" t="n">
        <v>11.808</v>
      </c>
      <c r="N7" s="14" t="n">
        <v>13.208</v>
      </c>
    </row>
    <row r="8">
      <c r="A8" s="5" t="inlineStr">
        <is>
          <t>Production (Harvest)</t>
        </is>
      </c>
      <c r="B8" s="12" t="inlineStr">
        <is>
          <t>MMT</t>
        </is>
      </c>
      <c r="C8" s="14" t="n">
        <v>91.295</v>
      </c>
      <c r="D8" s="14" t="n">
        <v>105.381</v>
      </c>
      <c r="E8" s="14" t="n">
        <v>118.579</v>
      </c>
      <c r="F8" s="14" t="n">
        <v>99.837</v>
      </c>
      <c r="G8" s="14" t="n">
        <v>107.824</v>
      </c>
      <c r="H8" s="14" t="n">
        <v>119.853</v>
      </c>
      <c r="I8" s="14" t="n">
        <v>107.888</v>
      </c>
      <c r="J8" s="14" t="n">
        <v>129.332</v>
      </c>
      <c r="K8" s="14" t="n">
        <v>128.6</v>
      </c>
      <c r="L8" s="14" t="n">
        <v>111.85</v>
      </c>
      <c r="M8" s="14" t="n">
        <v>124.5</v>
      </c>
      <c r="N8" s="14" t="n">
        <v>124</v>
      </c>
    </row>
    <row r="9">
      <c r="A9" s="5" t="inlineStr">
        <is>
          <t>Imports</t>
        </is>
      </c>
      <c r="B9" s="12" t="inlineStr">
        <is>
          <t>MMT</t>
        </is>
      </c>
      <c r="C9" s="14" t="n">
        <v>0.9399999999999999</v>
      </c>
      <c r="D9" s="14" t="n">
        <v>0.772</v>
      </c>
      <c r="E9" s="14" t="n">
        <v>0.598</v>
      </c>
      <c r="F9" s="14" t="n">
        <v>0.497</v>
      </c>
      <c r="G9" s="14" t="n">
        <v>0.409</v>
      </c>
      <c r="H9" s="14" t="n">
        <v>0.482</v>
      </c>
      <c r="I9" s="14" t="n">
        <v>0.4</v>
      </c>
      <c r="J9" s="14" t="n">
        <v>0.4</v>
      </c>
      <c r="K9" s="14" t="n">
        <v>0.4</v>
      </c>
      <c r="L9" s="14" t="n">
        <v>0.4</v>
      </c>
      <c r="M9" s="14" t="n">
        <v>0.4</v>
      </c>
      <c r="N9" s="14" t="n">
        <v>0.4</v>
      </c>
    </row>
    <row r="10">
      <c r="A10" s="4">
        <f> Total Supply</f>
        <v/>
      </c>
      <c r="B10" s="12" t="inlineStr">
        <is>
          <t>Formula: Beg+Prod+Imp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  <c r="J10" s="15">
        <f>SUM(J7:J9)</f>
        <v/>
      </c>
      <c r="K10" s="15">
        <f>SUM(K7:K9)</f>
        <v/>
      </c>
      <c r="L10" s="15">
        <f>SUM(L7:L9)</f>
        <v/>
      </c>
      <c r="M10" s="15">
        <f>SUM(M7:M9)</f>
        <v/>
      </c>
      <c r="N10" s="15">
        <f>SUM(N7:N9)</f>
        <v/>
      </c>
    </row>
    <row r="11">
      <c r="A11" s="5" t="inlineStr">
        <is>
          <t>Crush (Oilseeds)</t>
        </is>
      </c>
      <c r="B11" s="12" t="inlineStr">
        <is>
          <t>MMT</t>
        </is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</row>
    <row r="12">
      <c r="A12" s="5" t="inlineStr">
        <is>
          <t>Feed &amp; Residual</t>
        </is>
      </c>
      <c r="B12" s="12" t="inlineStr">
        <is>
          <t>MMT</t>
        </is>
      </c>
      <c r="C12" s="14" t="n">
        <v>30.8</v>
      </c>
      <c r="D12" s="14" t="n">
        <v>35.6</v>
      </c>
      <c r="E12" s="14" t="n">
        <v>37.3</v>
      </c>
      <c r="F12" s="14" t="n">
        <v>33.4</v>
      </c>
      <c r="G12" s="14" t="n">
        <v>36.3</v>
      </c>
      <c r="H12" s="14" t="n">
        <v>37.4</v>
      </c>
      <c r="I12" s="14" t="n">
        <v>37.2</v>
      </c>
      <c r="J12" s="14" t="n">
        <v>38.7</v>
      </c>
      <c r="K12" s="14" t="n">
        <v>34.9</v>
      </c>
      <c r="L12" s="14" t="n">
        <v>35.7</v>
      </c>
      <c r="M12" s="14" t="n">
        <v>37.8</v>
      </c>
      <c r="N12" s="14" t="n">
        <v>39.8</v>
      </c>
    </row>
    <row r="13">
      <c r="A13" s="5" t="inlineStr">
        <is>
          <t>FSI / Food &amp; Industrial</t>
        </is>
      </c>
      <c r="B13" s="12" t="inlineStr">
        <is>
          <t>MMT</t>
        </is>
      </c>
      <c r="C13" s="14" t="n">
        <v>28.6</v>
      </c>
      <c r="D13" s="14" t="n">
        <v>28.65</v>
      </c>
      <c r="E13" s="14" t="n">
        <v>28.5</v>
      </c>
      <c r="F13" s="14" t="n">
        <v>27.8</v>
      </c>
      <c r="G13" s="14" t="n">
        <v>28.9</v>
      </c>
      <c r="H13" s="14" t="n">
        <v>29.5</v>
      </c>
      <c r="I13" s="14" t="n">
        <v>28.95</v>
      </c>
      <c r="J13" s="14" t="n">
        <v>29</v>
      </c>
      <c r="K13" s="14" t="n">
        <v>29</v>
      </c>
      <c r="L13" s="14" t="n">
        <v>28.5</v>
      </c>
      <c r="M13" s="14" t="n">
        <v>29.2</v>
      </c>
      <c r="N13" s="14" t="n">
        <v>29.3</v>
      </c>
    </row>
    <row r="14">
      <c r="A14" s="5" t="inlineStr">
        <is>
          <t>Total Domestic Consumption</t>
        </is>
      </c>
      <c r="B14" s="12" t="inlineStr">
        <is>
          <t>MMT</t>
        </is>
      </c>
      <c r="C14" s="14" t="n">
        <v>59.4</v>
      </c>
      <c r="D14" s="14" t="n">
        <v>64.25</v>
      </c>
      <c r="E14" s="14" t="n">
        <v>65.8</v>
      </c>
      <c r="F14" s="14" t="n">
        <v>61.2</v>
      </c>
      <c r="G14" s="14" t="n">
        <v>65.2</v>
      </c>
      <c r="H14" s="14" t="n">
        <v>66.90000000000001</v>
      </c>
      <c r="I14" s="14" t="n">
        <v>66.15000000000001</v>
      </c>
      <c r="J14" s="14" t="n">
        <v>67.7</v>
      </c>
      <c r="K14" s="14" t="n">
        <v>63.9</v>
      </c>
      <c r="L14" s="14" t="n">
        <v>64.2</v>
      </c>
      <c r="M14" s="14" t="n">
        <v>67</v>
      </c>
      <c r="N14" s="14" t="n">
        <v>69.09999999999999</v>
      </c>
    </row>
    <row r="15">
      <c r="A15" s="5" t="inlineStr">
        <is>
          <t>Exports (MY)</t>
        </is>
      </c>
      <c r="B15" s="12" t="inlineStr">
        <is>
          <t>MMT</t>
        </is>
      </c>
      <c r="C15" s="14" t="n">
        <v>34.478</v>
      </c>
      <c r="D15" s="14" t="n">
        <v>36.364</v>
      </c>
      <c r="E15" s="14" t="n">
        <v>52.863</v>
      </c>
      <c r="F15" s="14" t="n">
        <v>43.294</v>
      </c>
      <c r="G15" s="14" t="n">
        <v>43.027</v>
      </c>
      <c r="H15" s="14" t="n">
        <v>49.348</v>
      </c>
      <c r="I15" s="14" t="n">
        <v>41.3</v>
      </c>
      <c r="J15" s="14" t="n">
        <v>59.4</v>
      </c>
      <c r="K15" s="14" t="n">
        <v>68.3</v>
      </c>
      <c r="L15" s="14" t="n">
        <v>49.4</v>
      </c>
      <c r="M15" s="14" t="n">
        <v>56.5</v>
      </c>
      <c r="N15" s="14" t="n">
        <v>50.1</v>
      </c>
    </row>
    <row r="16">
      <c r="A16" s="4">
        <f> Total Disappearance</f>
        <v/>
      </c>
      <c r="B16" s="12" t="inlineStr">
        <is>
          <t>Formula: Dom+Exp</t>
        </is>
      </c>
      <c r="C16" s="15">
        <f>C14+C15</f>
        <v/>
      </c>
      <c r="D16" s="15">
        <f>D14+D15</f>
        <v/>
      </c>
      <c r="E16" s="15">
        <f>E14+E15</f>
        <v/>
      </c>
      <c r="F16" s="15">
        <f>F14+F15</f>
        <v/>
      </c>
      <c r="G16" s="15">
        <f>G14+G15</f>
        <v/>
      </c>
      <c r="H16" s="15">
        <f>H14+H15</f>
        <v/>
      </c>
      <c r="I16" s="15">
        <f>I14+I15</f>
        <v/>
      </c>
      <c r="J16" s="15">
        <f>J14+J15</f>
        <v/>
      </c>
      <c r="K16" s="15">
        <f>K14+K15</f>
        <v/>
      </c>
      <c r="L16" s="15">
        <f>L14+L15</f>
        <v/>
      </c>
      <c r="M16" s="15">
        <f>M14+M15</f>
        <v/>
      </c>
      <c r="N16" s="15">
        <f>N14+N15</f>
        <v/>
      </c>
    </row>
    <row r="17">
      <c r="A17" s="4" t="inlineStr">
        <is>
          <t>Ending Stocks</t>
        </is>
      </c>
      <c r="B17" s="12" t="inlineStr">
        <is>
          <t>MMT</t>
        </is>
      </c>
      <c r="C17" s="16" t="n">
        <v>6.902</v>
      </c>
      <c r="D17" s="16" t="n">
        <v>12.441</v>
      </c>
      <c r="E17" s="16" t="n">
        <v>12.955</v>
      </c>
      <c r="F17" s="16" t="n">
        <v>8.795</v>
      </c>
      <c r="G17" s="16" t="n">
        <v>8.801</v>
      </c>
      <c r="H17" s="16" t="n">
        <v>12.888</v>
      </c>
      <c r="I17" s="16" t="n">
        <v>13.726</v>
      </c>
      <c r="J17" s="16" t="n">
        <v>16.358</v>
      </c>
      <c r="K17" s="16" t="n">
        <v>13.158</v>
      </c>
      <c r="L17" s="16" t="n">
        <v>11.808</v>
      </c>
      <c r="M17" s="16" t="n">
        <v>13.208</v>
      </c>
      <c r="N17" s="16" t="n">
        <v>18.408</v>
      </c>
    </row>
    <row r="18">
      <c r="A18" s="4" t="inlineStr">
        <is>
          <t>Stocks-to-Use Ratio (%)</t>
        </is>
      </c>
      <c r="B18" s="12" t="inlineStr">
        <is>
          <t>Formula: End/TotUse</t>
        </is>
      </c>
      <c r="C18" s="17">
        <f>IF(C16&gt;0, C17/C16, 0)</f>
        <v/>
      </c>
      <c r="D18" s="17">
        <f>IF(D16&gt;0, D17/D16, 0)</f>
        <v/>
      </c>
      <c r="E18" s="17">
        <f>IF(E16&gt;0, E17/E16, 0)</f>
        <v/>
      </c>
      <c r="F18" s="17">
        <f>IF(F16&gt;0, F17/F16, 0)</f>
        <v/>
      </c>
      <c r="G18" s="17">
        <f>IF(G16&gt;0, G17/G16, 0)</f>
        <v/>
      </c>
      <c r="H18" s="17">
        <f>IF(H16&gt;0, H17/H16, 0)</f>
        <v/>
      </c>
      <c r="I18" s="17">
        <f>IF(I16&gt;0, I17/I16, 0)</f>
        <v/>
      </c>
      <c r="J18" s="17">
        <f>IF(J16&gt;0, J17/J16, 0)</f>
        <v/>
      </c>
      <c r="K18" s="17">
        <f>IF(K16&gt;0, K17/K16, 0)</f>
        <v/>
      </c>
      <c r="L18" s="17">
        <f>IF(L16&gt;0, L17/L16, 0)</f>
        <v/>
      </c>
      <c r="M18" s="17">
        <f>IF(M16&gt;0, M17/M16, 0)</f>
        <v/>
      </c>
      <c r="N18" s="17">
        <f>IF(N16&gt;0, N17/N16, 0)</f>
        <v/>
      </c>
    </row>
    <row r="21">
      <c r="A21" s="10" t="inlineStr">
        <is>
          <t>RU — WHEAT BALANCE SHEET (MMT)</t>
        </is>
      </c>
      <c r="B21" s="11" t="inlineStr">
        <is>
          <t>Unit / Formula</t>
        </is>
      </c>
      <c r="C21" s="11" t="inlineStr">
        <is>
          <t>2015/16</t>
        </is>
      </c>
      <c r="D21" s="11" t="inlineStr">
        <is>
          <t>2016/17</t>
        </is>
      </c>
      <c r="E21" s="11" t="inlineStr">
        <is>
          <t>2017/18</t>
        </is>
      </c>
      <c r="F21" s="11" t="inlineStr">
        <is>
          <t>2018/19</t>
        </is>
      </c>
      <c r="G21" s="11" t="inlineStr">
        <is>
          <t>2019/20</t>
        </is>
      </c>
      <c r="H21" s="11" t="inlineStr">
        <is>
          <t>2020/21</t>
        </is>
      </c>
      <c r="I21" s="11" t="inlineStr">
        <is>
          <t>2021/22</t>
        </is>
      </c>
      <c r="J21" s="11" t="inlineStr">
        <is>
          <t>2022/23</t>
        </is>
      </c>
      <c r="K21" s="11" t="inlineStr">
        <is>
          <t>2023/24</t>
        </is>
      </c>
      <c r="L21" s="11" t="inlineStr">
        <is>
          <t>2024/25</t>
        </is>
      </c>
      <c r="M21" s="11" t="inlineStr">
        <is>
          <t>2025/26</t>
        </is>
      </c>
      <c r="N21" s="11" t="inlineStr">
        <is>
          <t>2026/27</t>
        </is>
      </c>
    </row>
    <row r="22">
      <c r="A22" s="5" t="inlineStr">
        <is>
          <t>Area Harvested</t>
        </is>
      </c>
      <c r="B22" s="12" t="inlineStr">
        <is>
          <t>Million Ha (Mha)</t>
        </is>
      </c>
      <c r="C22" s="13" t="n">
        <v>25.577</v>
      </c>
      <c r="D22" s="13" t="n">
        <v>27.004</v>
      </c>
      <c r="E22" s="13" t="n">
        <v>27.37</v>
      </c>
      <c r="F22" s="13" t="n">
        <v>26.344</v>
      </c>
      <c r="G22" s="13" t="n">
        <v>27.312</v>
      </c>
      <c r="H22" s="13" t="n">
        <v>28.683</v>
      </c>
      <c r="I22" s="13" t="n">
        <v>27.63</v>
      </c>
      <c r="J22" s="13" t="n">
        <v>29</v>
      </c>
      <c r="K22" s="13" t="n">
        <v>28.83</v>
      </c>
      <c r="L22" s="13" t="n">
        <v>27.8</v>
      </c>
      <c r="M22" s="13" t="n">
        <v>26.3</v>
      </c>
      <c r="N22" s="13" t="n">
        <v>25.1</v>
      </c>
    </row>
    <row r="23">
      <c r="A23" s="5" t="inlineStr">
        <is>
          <t>Yield</t>
        </is>
      </c>
      <c r="B23" s="12" t="inlineStr">
        <is>
          <t>MT / Ha</t>
        </is>
      </c>
      <c r="C23" s="13" t="n">
        <v>2.39</v>
      </c>
      <c r="D23" s="13" t="n">
        <v>2.69</v>
      </c>
      <c r="E23" s="13" t="n">
        <v>3.11</v>
      </c>
      <c r="F23" s="13" t="n">
        <v>2.72</v>
      </c>
      <c r="G23" s="13" t="n">
        <v>2.7</v>
      </c>
      <c r="H23" s="13" t="n">
        <v>2.98</v>
      </c>
      <c r="I23" s="13" t="n">
        <v>2.72</v>
      </c>
      <c r="J23" s="13" t="n">
        <v>3.17</v>
      </c>
      <c r="K23" s="13" t="n">
        <v>3.17</v>
      </c>
      <c r="L23" s="13" t="n">
        <v>2.94</v>
      </c>
      <c r="M23" s="13" t="n">
        <v>3.43</v>
      </c>
      <c r="N23" s="13" t="n">
        <v>3.51</v>
      </c>
    </row>
    <row r="24">
      <c r="A24" s="4" t="inlineStr">
        <is>
          <t>Beginning Stocks</t>
        </is>
      </c>
      <c r="B24" s="12" t="inlineStr">
        <is>
          <t>MMT</t>
        </is>
      </c>
      <c r="C24" s="14" t="n">
        <v>6.287</v>
      </c>
      <c r="D24" s="14" t="n">
        <v>5.604</v>
      </c>
      <c r="E24" s="14" t="n">
        <v>10.823</v>
      </c>
      <c r="F24" s="14" t="n">
        <v>12.01</v>
      </c>
      <c r="G24" s="14" t="n">
        <v>7.778</v>
      </c>
      <c r="H24" s="14" t="n">
        <v>7.228</v>
      </c>
      <c r="I24" s="14" t="n">
        <v>11.38</v>
      </c>
      <c r="J24" s="14" t="n">
        <v>12.088</v>
      </c>
      <c r="K24" s="14" t="n">
        <v>14.388</v>
      </c>
      <c r="L24" s="14" t="n">
        <v>11.688</v>
      </c>
      <c r="M24" s="14" t="n">
        <v>10.588</v>
      </c>
      <c r="N24" s="14" t="n">
        <v>11.988</v>
      </c>
    </row>
    <row r="25">
      <c r="A25" s="5" t="inlineStr">
        <is>
          <t>Production (Harvest)</t>
        </is>
      </c>
      <c r="B25" s="12" t="inlineStr">
        <is>
          <t>MMT</t>
        </is>
      </c>
      <c r="C25" s="14" t="n">
        <v>61.044</v>
      </c>
      <c r="D25" s="14" t="n">
        <v>72.529</v>
      </c>
      <c r="E25" s="14" t="n">
        <v>85.167</v>
      </c>
      <c r="F25" s="14" t="n">
        <v>71.685</v>
      </c>
      <c r="G25" s="14" t="n">
        <v>73.61</v>
      </c>
      <c r="H25" s="14" t="n">
        <v>85.352</v>
      </c>
      <c r="I25" s="14" t="n">
        <v>75.158</v>
      </c>
      <c r="J25" s="14" t="n">
        <v>92</v>
      </c>
      <c r="K25" s="14" t="n">
        <v>91.5</v>
      </c>
      <c r="L25" s="14" t="n">
        <v>81.59999999999999</v>
      </c>
      <c r="M25" s="14" t="n">
        <v>90.3</v>
      </c>
      <c r="N25" s="14" t="n">
        <v>88</v>
      </c>
    </row>
    <row r="26">
      <c r="A26" s="5" t="inlineStr">
        <is>
          <t>Imports</t>
        </is>
      </c>
      <c r="B26" s="12" t="inlineStr">
        <is>
          <t>MMT</t>
        </is>
      </c>
      <c r="C26" s="14" t="n">
        <v>0.819</v>
      </c>
      <c r="D26" s="14" t="n">
        <v>0.505</v>
      </c>
      <c r="E26" s="14" t="n">
        <v>0.467</v>
      </c>
      <c r="F26" s="14" t="n">
        <v>0.446</v>
      </c>
      <c r="G26" s="14" t="n">
        <v>0.325</v>
      </c>
      <c r="H26" s="14" t="n">
        <v>0.4</v>
      </c>
      <c r="I26" s="14" t="n">
        <v>0.3</v>
      </c>
      <c r="J26" s="14" t="n">
        <v>0.3</v>
      </c>
      <c r="K26" s="14" t="n">
        <v>0.3</v>
      </c>
      <c r="L26" s="14" t="n">
        <v>0.3</v>
      </c>
      <c r="M26" s="14" t="n">
        <v>0.3</v>
      </c>
      <c r="N26" s="14" t="n">
        <v>0.3</v>
      </c>
    </row>
    <row r="27">
      <c r="A27" s="4">
        <f> Total Supply</f>
        <v/>
      </c>
      <c r="B27" s="12" t="inlineStr">
        <is>
          <t>Formula: Beg+Prod+Imp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  <c r="J27" s="15">
        <f>SUM(J24:J26)</f>
        <v/>
      </c>
      <c r="K27" s="15">
        <f>SUM(K24:K26)</f>
        <v/>
      </c>
      <c r="L27" s="15">
        <f>SUM(L24:L26)</f>
        <v/>
      </c>
      <c r="M27" s="15">
        <f>SUM(M24:M26)</f>
        <v/>
      </c>
      <c r="N27" s="15">
        <f>SUM(N24:N26)</f>
        <v/>
      </c>
    </row>
    <row r="28">
      <c r="A28" s="5" t="inlineStr">
        <is>
          <t>Crush (Oilseeds)</t>
        </is>
      </c>
      <c r="B28" s="12" t="inlineStr">
        <is>
          <t>MMT</t>
        </is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</row>
    <row r="29">
      <c r="A29" s="5" t="inlineStr">
        <is>
          <t>Feed &amp; Residual</t>
        </is>
      </c>
      <c r="B29" s="12" t="inlineStr">
        <is>
          <t>MMT</t>
        </is>
      </c>
      <c r="C29" s="14" t="n">
        <v>14</v>
      </c>
      <c r="D29" s="14" t="n">
        <v>17</v>
      </c>
      <c r="E29" s="14" t="n">
        <v>20</v>
      </c>
      <c r="F29" s="14" t="n">
        <v>18</v>
      </c>
      <c r="G29" s="14" t="n">
        <v>17</v>
      </c>
      <c r="H29" s="14" t="n">
        <v>19</v>
      </c>
      <c r="I29" s="14" t="n">
        <v>17.5</v>
      </c>
      <c r="J29" s="14" t="n">
        <v>18</v>
      </c>
      <c r="K29" s="14" t="n">
        <v>16</v>
      </c>
      <c r="L29" s="14" t="n">
        <v>17</v>
      </c>
      <c r="M29" s="14" t="n">
        <v>18</v>
      </c>
      <c r="N29" s="14" t="n">
        <v>18</v>
      </c>
    </row>
    <row r="30">
      <c r="A30" s="5" t="inlineStr">
        <is>
          <t>FSI / Food &amp; Industrial</t>
        </is>
      </c>
      <c r="B30" s="12" t="inlineStr">
        <is>
          <t>MMT</t>
        </is>
      </c>
      <c r="C30" s="14" t="n">
        <v>23</v>
      </c>
      <c r="D30" s="14" t="n">
        <v>23</v>
      </c>
      <c r="E30" s="14" t="n">
        <v>23</v>
      </c>
      <c r="F30" s="14" t="n">
        <v>22.5</v>
      </c>
      <c r="G30" s="14" t="n">
        <v>23</v>
      </c>
      <c r="H30" s="14" t="n">
        <v>23.5</v>
      </c>
      <c r="I30" s="14" t="n">
        <v>23.25</v>
      </c>
      <c r="J30" s="14" t="n">
        <v>23</v>
      </c>
      <c r="K30" s="14" t="n">
        <v>23</v>
      </c>
      <c r="L30" s="14" t="n">
        <v>23</v>
      </c>
      <c r="M30" s="14" t="n">
        <v>23.2</v>
      </c>
      <c r="N30" s="14" t="n">
        <v>23.2</v>
      </c>
    </row>
    <row r="31">
      <c r="A31" s="5" t="inlineStr">
        <is>
          <t>Total Domestic Consumption</t>
        </is>
      </c>
      <c r="B31" s="12" t="inlineStr">
        <is>
          <t>MMT</t>
        </is>
      </c>
      <c r="C31" s="14" t="n">
        <v>37</v>
      </c>
      <c r="D31" s="14" t="n">
        <v>40</v>
      </c>
      <c r="E31" s="14" t="n">
        <v>43</v>
      </c>
      <c r="F31" s="14" t="n">
        <v>40.5</v>
      </c>
      <c r="G31" s="14" t="n">
        <v>40</v>
      </c>
      <c r="H31" s="14" t="n">
        <v>42.5</v>
      </c>
      <c r="I31" s="14" t="n">
        <v>40.75</v>
      </c>
      <c r="J31" s="14" t="n">
        <v>41</v>
      </c>
      <c r="K31" s="14" t="n">
        <v>39</v>
      </c>
      <c r="L31" s="14" t="n">
        <v>40</v>
      </c>
      <c r="M31" s="14" t="n">
        <v>41.2</v>
      </c>
      <c r="N31" s="14" t="n">
        <v>41.2</v>
      </c>
    </row>
    <row r="32">
      <c r="A32" s="5" t="inlineStr">
        <is>
          <t>Exports (MY)</t>
        </is>
      </c>
      <c r="B32" s="12" t="inlineStr">
        <is>
          <t>MMT</t>
        </is>
      </c>
      <c r="C32" s="14" t="n">
        <v>25.546</v>
      </c>
      <c r="D32" s="14" t="n">
        <v>27.815</v>
      </c>
      <c r="E32" s="14" t="n">
        <v>41.447</v>
      </c>
      <c r="F32" s="14" t="n">
        <v>35.863</v>
      </c>
      <c r="G32" s="14" t="n">
        <v>34.485</v>
      </c>
      <c r="H32" s="14" t="n">
        <v>39.1</v>
      </c>
      <c r="I32" s="14" t="n">
        <v>34</v>
      </c>
      <c r="J32" s="14" t="n">
        <v>49</v>
      </c>
      <c r="K32" s="14" t="n">
        <v>55.5</v>
      </c>
      <c r="L32" s="14" t="n">
        <v>43</v>
      </c>
      <c r="M32" s="14" t="n">
        <v>48</v>
      </c>
      <c r="N32" s="14" t="n">
        <v>43</v>
      </c>
    </row>
    <row r="33">
      <c r="A33" s="4">
        <f> Total Disappearance</f>
        <v/>
      </c>
      <c r="B33" s="12" t="inlineStr">
        <is>
          <t>Formula: Dom+Exp</t>
        </is>
      </c>
      <c r="C33" s="15">
        <f>C31+C32</f>
        <v/>
      </c>
      <c r="D33" s="15">
        <f>D31+D32</f>
        <v/>
      </c>
      <c r="E33" s="15">
        <f>E31+E32</f>
        <v/>
      </c>
      <c r="F33" s="15">
        <f>F31+F32</f>
        <v/>
      </c>
      <c r="G33" s="15">
        <f>G31+G32</f>
        <v/>
      </c>
      <c r="H33" s="15">
        <f>H31+H32</f>
        <v/>
      </c>
      <c r="I33" s="15">
        <f>I31+I32</f>
        <v/>
      </c>
      <c r="J33" s="15">
        <f>J31+J32</f>
        <v/>
      </c>
      <c r="K33" s="15">
        <f>K31+K32</f>
        <v/>
      </c>
      <c r="L33" s="15">
        <f>L31+L32</f>
        <v/>
      </c>
      <c r="M33" s="15">
        <f>M31+M32</f>
        <v/>
      </c>
      <c r="N33" s="15">
        <f>N31+N32</f>
        <v/>
      </c>
    </row>
    <row r="34">
      <c r="A34" s="4" t="inlineStr">
        <is>
          <t>Ending Stocks</t>
        </is>
      </c>
      <c r="B34" s="12" t="inlineStr">
        <is>
          <t>MMT</t>
        </is>
      </c>
      <c r="C34" s="16" t="n">
        <v>5.604</v>
      </c>
      <c r="D34" s="16" t="n">
        <v>10.823</v>
      </c>
      <c r="E34" s="16" t="n">
        <v>12.01</v>
      </c>
      <c r="F34" s="16" t="n">
        <v>7.778</v>
      </c>
      <c r="G34" s="16" t="n">
        <v>7.228</v>
      </c>
      <c r="H34" s="16" t="n">
        <v>11.38</v>
      </c>
      <c r="I34" s="16" t="n">
        <v>12.088</v>
      </c>
      <c r="J34" s="16" t="n">
        <v>14.388</v>
      </c>
      <c r="K34" s="16" t="n">
        <v>11.688</v>
      </c>
      <c r="L34" s="16" t="n">
        <v>10.588</v>
      </c>
      <c r="M34" s="16" t="n">
        <v>11.988</v>
      </c>
      <c r="N34" s="16" t="n">
        <v>16.088</v>
      </c>
    </row>
    <row r="35">
      <c r="A35" s="4" t="inlineStr">
        <is>
          <t>Stocks-to-Use Ratio (%)</t>
        </is>
      </c>
      <c r="B35" s="12" t="inlineStr">
        <is>
          <t>Formula: End/TotUse</t>
        </is>
      </c>
      <c r="C35" s="17">
        <f>IF(C33&gt;0, C34/C33, 0)</f>
        <v/>
      </c>
      <c r="D35" s="17">
        <f>IF(D33&gt;0, D34/D33, 0)</f>
        <v/>
      </c>
      <c r="E35" s="17">
        <f>IF(E33&gt;0, E34/E33, 0)</f>
        <v/>
      </c>
      <c r="F35" s="17">
        <f>IF(F33&gt;0, F34/F33, 0)</f>
        <v/>
      </c>
      <c r="G35" s="17">
        <f>IF(G33&gt;0, G34/G33, 0)</f>
        <v/>
      </c>
      <c r="H35" s="17">
        <f>IF(H33&gt;0, H34/H33, 0)</f>
        <v/>
      </c>
      <c r="I35" s="17">
        <f>IF(I33&gt;0, I34/I33, 0)</f>
        <v/>
      </c>
      <c r="J35" s="17">
        <f>IF(J33&gt;0, J34/J33, 0)</f>
        <v/>
      </c>
      <c r="K35" s="17">
        <f>IF(K33&gt;0, K34/K33, 0)</f>
        <v/>
      </c>
      <c r="L35" s="17">
        <f>IF(L33&gt;0, L34/L33, 0)</f>
        <v/>
      </c>
      <c r="M35" s="17">
        <f>IF(M33&gt;0, M34/M33, 0)</f>
        <v/>
      </c>
      <c r="N35" s="17">
        <f>IF(N33&gt;0, N34/N33, 0)</f>
        <v/>
      </c>
    </row>
    <row r="38">
      <c r="A38" s="10" t="inlineStr">
        <is>
          <t>RU — CORN BALANCE SHEET (MMT)</t>
        </is>
      </c>
      <c r="B38" s="11" t="inlineStr">
        <is>
          <t>Unit / Formula</t>
        </is>
      </c>
      <c r="C38" s="11" t="inlineStr">
        <is>
          <t>2015/16</t>
        </is>
      </c>
      <c r="D38" s="11" t="inlineStr">
        <is>
          <t>2016/17</t>
        </is>
      </c>
      <c r="E38" s="11" t="inlineStr">
        <is>
          <t>2017/18</t>
        </is>
      </c>
      <c r="F38" s="11" t="inlineStr">
        <is>
          <t>2018/19</t>
        </is>
      </c>
      <c r="G38" s="11" t="inlineStr">
        <is>
          <t>2019/20</t>
        </is>
      </c>
      <c r="H38" s="11" t="inlineStr">
        <is>
          <t>2020/21</t>
        </is>
      </c>
      <c r="I38" s="11" t="inlineStr">
        <is>
          <t>2021/22</t>
        </is>
      </c>
      <c r="J38" s="11" t="inlineStr">
        <is>
          <t>2022/23</t>
        </is>
      </c>
      <c r="K38" s="11" t="inlineStr">
        <is>
          <t>2023/24</t>
        </is>
      </c>
      <c r="L38" s="11" t="inlineStr">
        <is>
          <t>2024/25</t>
        </is>
      </c>
      <c r="M38" s="11" t="inlineStr">
        <is>
          <t>2025/26</t>
        </is>
      </c>
      <c r="N38" s="11" t="inlineStr">
        <is>
          <t>2026/27</t>
        </is>
      </c>
    </row>
    <row r="39">
      <c r="A39" s="5" t="inlineStr">
        <is>
          <t>Area Harvested</t>
        </is>
      </c>
      <c r="B39" s="12" t="inlineStr">
        <is>
          <t>Million Ha (Mha)</t>
        </is>
      </c>
      <c r="C39" s="13" t="n">
        <v>2.671</v>
      </c>
      <c r="D39" s="13" t="n">
        <v>2.777</v>
      </c>
      <c r="E39" s="13" t="n">
        <v>2.694</v>
      </c>
      <c r="F39" s="13" t="n">
        <v>2.373</v>
      </c>
      <c r="G39" s="13" t="n">
        <v>2.504</v>
      </c>
      <c r="H39" s="13" t="n">
        <v>2.731</v>
      </c>
      <c r="I39" s="13" t="n">
        <v>2.9</v>
      </c>
      <c r="J39" s="13" t="n">
        <v>2.64</v>
      </c>
      <c r="K39" s="13" t="n">
        <v>2.4</v>
      </c>
      <c r="L39" s="13" t="n">
        <v>2.7</v>
      </c>
      <c r="M39" s="13" t="n">
        <v>2.3</v>
      </c>
      <c r="N39" s="13" t="n">
        <v>2.4</v>
      </c>
    </row>
    <row r="40">
      <c r="A40" s="5" t="inlineStr">
        <is>
          <t>Yield</t>
        </is>
      </c>
      <c r="B40" s="12" t="inlineStr">
        <is>
          <t>MT / Ha</t>
        </is>
      </c>
      <c r="C40" s="13" t="n">
        <v>4.93</v>
      </c>
      <c r="D40" s="13" t="n">
        <v>5.51</v>
      </c>
      <c r="E40" s="13" t="n">
        <v>4.9</v>
      </c>
      <c r="F40" s="13" t="n">
        <v>4.81</v>
      </c>
      <c r="G40" s="13" t="n">
        <v>5.7</v>
      </c>
      <c r="H40" s="13" t="n">
        <v>5.08</v>
      </c>
      <c r="I40" s="13" t="n">
        <v>5.25</v>
      </c>
      <c r="J40" s="13" t="n">
        <v>6</v>
      </c>
      <c r="K40" s="13" t="n">
        <v>6.92</v>
      </c>
      <c r="L40" s="13" t="n">
        <v>5.19</v>
      </c>
      <c r="M40" s="13" t="n">
        <v>6.43</v>
      </c>
      <c r="N40" s="13" t="n">
        <v>6.88</v>
      </c>
    </row>
    <row r="41">
      <c r="A41" s="4" t="inlineStr">
        <is>
          <t>Beginning Stocks</t>
        </is>
      </c>
      <c r="B41" s="12" t="inlineStr">
        <is>
          <t>MMT</t>
        </is>
      </c>
      <c r="C41" s="14" t="n">
        <v>0.748</v>
      </c>
      <c r="D41" s="14" t="n">
        <v>0.569</v>
      </c>
      <c r="E41" s="14" t="n">
        <v>0.779</v>
      </c>
      <c r="F41" s="14" t="n">
        <v>0.195</v>
      </c>
      <c r="G41" s="14" t="n">
        <v>0.377</v>
      </c>
      <c r="H41" s="14" t="n">
        <v>0.83</v>
      </c>
      <c r="I41" s="14" t="n">
        <v>0.751</v>
      </c>
      <c r="J41" s="14" t="n">
        <v>0.926</v>
      </c>
      <c r="K41" s="14" t="n">
        <v>0.908</v>
      </c>
      <c r="L41" s="14" t="n">
        <v>0.758</v>
      </c>
      <c r="M41" s="14" t="n">
        <v>0.908</v>
      </c>
      <c r="N41" s="14" t="n">
        <v>0.658</v>
      </c>
    </row>
    <row r="42">
      <c r="A42" s="5" t="inlineStr">
        <is>
          <t>Production (Harvest)</t>
        </is>
      </c>
      <c r="B42" s="12" t="inlineStr">
        <is>
          <t>MMT</t>
        </is>
      </c>
      <c r="C42" s="14" t="n">
        <v>13.168</v>
      </c>
      <c r="D42" s="14" t="n">
        <v>15.305</v>
      </c>
      <c r="E42" s="14" t="n">
        <v>13.201</v>
      </c>
      <c r="F42" s="14" t="n">
        <v>11.415</v>
      </c>
      <c r="G42" s="14" t="n">
        <v>14.275</v>
      </c>
      <c r="H42" s="14" t="n">
        <v>13.872</v>
      </c>
      <c r="I42" s="14" t="n">
        <v>15.225</v>
      </c>
      <c r="J42" s="14" t="n">
        <v>15.832</v>
      </c>
      <c r="K42" s="14" t="n">
        <v>16.6</v>
      </c>
      <c r="L42" s="14" t="n">
        <v>14</v>
      </c>
      <c r="M42" s="14" t="n">
        <v>14.8</v>
      </c>
      <c r="N42" s="14" t="n">
        <v>16.5</v>
      </c>
    </row>
    <row r="43">
      <c r="A43" s="5" t="inlineStr">
        <is>
          <t>Imports</t>
        </is>
      </c>
      <c r="B43" s="12" t="inlineStr">
        <is>
          <t>MMT</t>
        </is>
      </c>
      <c r="C43" s="14" t="n">
        <v>0.044</v>
      </c>
      <c r="D43" s="14" t="n">
        <v>0.053</v>
      </c>
      <c r="E43" s="14" t="n">
        <v>0.047</v>
      </c>
      <c r="F43" s="14" t="n">
        <v>0.037</v>
      </c>
      <c r="G43" s="14" t="n">
        <v>0.05</v>
      </c>
      <c r="H43" s="14" t="n">
        <v>0.038</v>
      </c>
      <c r="I43" s="14" t="n">
        <v>0.05</v>
      </c>
      <c r="J43" s="14" t="n">
        <v>0.05</v>
      </c>
      <c r="K43" s="14" t="n">
        <v>0.05</v>
      </c>
      <c r="L43" s="14" t="n">
        <v>0.05</v>
      </c>
      <c r="M43" s="14" t="n">
        <v>0.05</v>
      </c>
      <c r="N43" s="14" t="n">
        <v>0.05</v>
      </c>
    </row>
    <row r="44">
      <c r="A44" s="4">
        <f> Total Supply</f>
        <v/>
      </c>
      <c r="B44" s="12" t="inlineStr">
        <is>
          <t>Formula: Beg+Prod+Imp</t>
        </is>
      </c>
      <c r="C44" s="15">
        <f>SUM(C41:C43)</f>
        <v/>
      </c>
      <c r="D44" s="15">
        <f>SUM(D41:D43)</f>
        <v/>
      </c>
      <c r="E44" s="15">
        <f>SUM(E41:E43)</f>
        <v/>
      </c>
      <c r="F44" s="15">
        <f>SUM(F41:F43)</f>
        <v/>
      </c>
      <c r="G44" s="15">
        <f>SUM(G41:G43)</f>
        <v/>
      </c>
      <c r="H44" s="15">
        <f>SUM(H41:H43)</f>
        <v/>
      </c>
      <c r="I44" s="15">
        <f>SUM(I41:I43)</f>
        <v/>
      </c>
      <c r="J44" s="15">
        <f>SUM(J41:J43)</f>
        <v/>
      </c>
      <c r="K44" s="15">
        <f>SUM(K41:K43)</f>
        <v/>
      </c>
      <c r="L44" s="15">
        <f>SUM(L41:L43)</f>
        <v/>
      </c>
      <c r="M44" s="15">
        <f>SUM(M41:M43)</f>
        <v/>
      </c>
      <c r="N44" s="15">
        <f>SUM(N41:N43)</f>
        <v/>
      </c>
    </row>
    <row r="45">
      <c r="A45" s="5" t="inlineStr">
        <is>
          <t>Crush (Oilseeds)</t>
        </is>
      </c>
      <c r="B45" s="12" t="inlineStr">
        <is>
          <t>MMT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</row>
    <row r="46">
      <c r="A46" s="5" t="inlineStr">
        <is>
          <t>Feed &amp; Residual</t>
        </is>
      </c>
      <c r="B46" s="12" t="inlineStr">
        <is>
          <t>MMT</t>
        </is>
      </c>
      <c r="C46" s="14" t="n">
        <v>7.8</v>
      </c>
      <c r="D46" s="14" t="n">
        <v>8.6</v>
      </c>
      <c r="E46" s="14" t="n">
        <v>7.4</v>
      </c>
      <c r="F46" s="14" t="n">
        <v>7.6</v>
      </c>
      <c r="G46" s="14" t="n">
        <v>8.800000000000001</v>
      </c>
      <c r="H46" s="14" t="n">
        <v>8.9</v>
      </c>
      <c r="I46" s="14" t="n">
        <v>10</v>
      </c>
      <c r="J46" s="14" t="n">
        <v>8.9</v>
      </c>
      <c r="K46" s="14" t="n">
        <v>9.1</v>
      </c>
      <c r="L46" s="14" t="n">
        <v>9.800000000000001</v>
      </c>
      <c r="M46" s="14" t="n">
        <v>10</v>
      </c>
      <c r="N46" s="14" t="n">
        <v>11</v>
      </c>
    </row>
    <row r="47">
      <c r="A47" s="5" t="inlineStr">
        <is>
          <t>FSI / Food &amp; Industrial</t>
        </is>
      </c>
      <c r="B47" s="12" t="inlineStr">
        <is>
          <t>MMT</t>
        </is>
      </c>
      <c r="C47" s="14" t="n">
        <v>0.9</v>
      </c>
      <c r="D47" s="14" t="n">
        <v>0.95</v>
      </c>
      <c r="E47" s="14" t="n">
        <v>0.9</v>
      </c>
      <c r="F47" s="14" t="n">
        <v>0.9</v>
      </c>
      <c r="G47" s="14" t="n">
        <v>1</v>
      </c>
      <c r="H47" s="14" t="n">
        <v>1.1</v>
      </c>
      <c r="I47" s="14" t="n">
        <v>1.1</v>
      </c>
      <c r="J47" s="14" t="n">
        <v>1.1</v>
      </c>
      <c r="K47" s="14" t="n">
        <v>1.1</v>
      </c>
      <c r="L47" s="14" t="n">
        <v>1.1</v>
      </c>
      <c r="M47" s="14" t="n">
        <v>1.1</v>
      </c>
      <c r="N47" s="14" t="n">
        <v>1.2</v>
      </c>
    </row>
    <row r="48">
      <c r="A48" s="5" t="inlineStr">
        <is>
          <t>Total Domestic Consumption</t>
        </is>
      </c>
      <c r="B48" s="12" t="inlineStr">
        <is>
          <t>MMT</t>
        </is>
      </c>
      <c r="C48" s="14" t="n">
        <v>8.699999999999999</v>
      </c>
      <c r="D48" s="14" t="n">
        <v>9.550000000000001</v>
      </c>
      <c r="E48" s="14" t="n">
        <v>8.300000000000001</v>
      </c>
      <c r="F48" s="14" t="n">
        <v>8.5</v>
      </c>
      <c r="G48" s="14" t="n">
        <v>9.800000000000001</v>
      </c>
      <c r="H48" s="14" t="n">
        <v>10</v>
      </c>
      <c r="I48" s="14" t="n">
        <v>11.1</v>
      </c>
      <c r="J48" s="14" t="n">
        <v>10</v>
      </c>
      <c r="K48" s="14" t="n">
        <v>10.2</v>
      </c>
      <c r="L48" s="14" t="n">
        <v>10.9</v>
      </c>
      <c r="M48" s="14" t="n">
        <v>11.1</v>
      </c>
      <c r="N48" s="14" t="n">
        <v>12.2</v>
      </c>
    </row>
    <row r="49">
      <c r="A49" s="5" t="inlineStr">
        <is>
          <t>Exports (MY)</t>
        </is>
      </c>
      <c r="B49" s="12" t="inlineStr">
        <is>
          <t>MMT</t>
        </is>
      </c>
      <c r="C49" s="14" t="n">
        <v>4.691</v>
      </c>
      <c r="D49" s="14" t="n">
        <v>5.598</v>
      </c>
      <c r="E49" s="14" t="n">
        <v>5.532</v>
      </c>
      <c r="F49" s="14" t="n">
        <v>2.77</v>
      </c>
      <c r="G49" s="14" t="n">
        <v>4.072</v>
      </c>
      <c r="H49" s="14" t="n">
        <v>3.989</v>
      </c>
      <c r="I49" s="14" t="n">
        <v>4</v>
      </c>
      <c r="J49" s="14" t="n">
        <v>5.9</v>
      </c>
      <c r="K49" s="14" t="n">
        <v>6.6</v>
      </c>
      <c r="L49" s="14" t="n">
        <v>3</v>
      </c>
      <c r="M49" s="14" t="n">
        <v>4</v>
      </c>
      <c r="N49" s="14" t="n">
        <v>3.7</v>
      </c>
    </row>
    <row r="50">
      <c r="A50" s="4">
        <f> Total Disappearance</f>
        <v/>
      </c>
      <c r="B50" s="12" t="inlineStr">
        <is>
          <t>Formula: Dom+Exp</t>
        </is>
      </c>
      <c r="C50" s="15">
        <f>C48+C49</f>
        <v/>
      </c>
      <c r="D50" s="15">
        <f>D48+D49</f>
        <v/>
      </c>
      <c r="E50" s="15">
        <f>E48+E49</f>
        <v/>
      </c>
      <c r="F50" s="15">
        <f>F48+F49</f>
        <v/>
      </c>
      <c r="G50" s="15">
        <f>G48+G49</f>
        <v/>
      </c>
      <c r="H50" s="15">
        <f>H48+H49</f>
        <v/>
      </c>
      <c r="I50" s="15">
        <f>I48+I49</f>
        <v/>
      </c>
      <c r="J50" s="15">
        <f>J48+J49</f>
        <v/>
      </c>
      <c r="K50" s="15">
        <f>K48+K49</f>
        <v/>
      </c>
      <c r="L50" s="15">
        <f>L48+L49</f>
        <v/>
      </c>
      <c r="M50" s="15">
        <f>M48+M49</f>
        <v/>
      </c>
      <c r="N50" s="15">
        <f>N48+N49</f>
        <v/>
      </c>
    </row>
    <row r="51">
      <c r="A51" s="4" t="inlineStr">
        <is>
          <t>Ending Stocks</t>
        </is>
      </c>
      <c r="B51" s="12" t="inlineStr">
        <is>
          <t>MMT</t>
        </is>
      </c>
      <c r="C51" s="16" t="n">
        <v>0.569</v>
      </c>
      <c r="D51" s="16" t="n">
        <v>0.779</v>
      </c>
      <c r="E51" s="16" t="n">
        <v>0.195</v>
      </c>
      <c r="F51" s="16" t="n">
        <v>0.377</v>
      </c>
      <c r="G51" s="16" t="n">
        <v>0.83</v>
      </c>
      <c r="H51" s="16" t="n">
        <v>0.751</v>
      </c>
      <c r="I51" s="16" t="n">
        <v>0.926</v>
      </c>
      <c r="J51" s="16" t="n">
        <v>0.908</v>
      </c>
      <c r="K51" s="16" t="n">
        <v>0.758</v>
      </c>
      <c r="L51" s="16" t="n">
        <v>0.908</v>
      </c>
      <c r="M51" s="16" t="n">
        <v>0.658</v>
      </c>
      <c r="N51" s="16" t="n">
        <v>1.308</v>
      </c>
    </row>
    <row r="52">
      <c r="A52" s="4" t="inlineStr">
        <is>
          <t>Stocks-to-Use Ratio (%)</t>
        </is>
      </c>
      <c r="B52" s="12" t="inlineStr">
        <is>
          <t>Formula: End/TotUse</t>
        </is>
      </c>
      <c r="C52" s="17">
        <f>IF(C50&gt;0, C51/C50, 0)</f>
        <v/>
      </c>
      <c r="D52" s="17">
        <f>IF(D50&gt;0, D51/D50, 0)</f>
        <v/>
      </c>
      <c r="E52" s="17">
        <f>IF(E50&gt;0, E51/E50, 0)</f>
        <v/>
      </c>
      <c r="F52" s="17">
        <f>IF(F50&gt;0, F51/F50, 0)</f>
        <v/>
      </c>
      <c r="G52" s="17">
        <f>IF(G50&gt;0, G51/G50, 0)</f>
        <v/>
      </c>
      <c r="H52" s="17">
        <f>IF(H50&gt;0, H51/H50, 0)</f>
        <v/>
      </c>
      <c r="I52" s="17">
        <f>IF(I50&gt;0, I51/I50, 0)</f>
        <v/>
      </c>
      <c r="J52" s="17">
        <f>IF(J50&gt;0, J51/J50, 0)</f>
        <v/>
      </c>
      <c r="K52" s="17">
        <f>IF(K50&gt;0, K51/K50, 0)</f>
        <v/>
      </c>
      <c r="L52" s="17">
        <f>IF(L50&gt;0, L51/L50, 0)</f>
        <v/>
      </c>
      <c r="M52" s="17">
        <f>IF(M50&gt;0, M51/M50, 0)</f>
        <v/>
      </c>
      <c r="N52" s="17">
        <f>IF(N50&gt;0, N51/N50, 0)</f>
        <v/>
      </c>
    </row>
    <row r="55">
      <c r="A55" s="10" t="inlineStr">
        <is>
          <t>RU — BARLEY BALANCE SHEET (MMT)</t>
        </is>
      </c>
      <c r="B55" s="11" t="inlineStr">
        <is>
          <t>Unit / Formula</t>
        </is>
      </c>
      <c r="C55" s="11" t="inlineStr">
        <is>
          <t>2015/16</t>
        </is>
      </c>
      <c r="D55" s="11" t="inlineStr">
        <is>
          <t>2016/17</t>
        </is>
      </c>
      <c r="E55" s="11" t="inlineStr">
        <is>
          <t>2017/18</t>
        </is>
      </c>
      <c r="F55" s="11" t="inlineStr">
        <is>
          <t>2018/19</t>
        </is>
      </c>
      <c r="G55" s="11" t="inlineStr">
        <is>
          <t>2019/20</t>
        </is>
      </c>
      <c r="H55" s="11" t="inlineStr">
        <is>
          <t>2020/21</t>
        </is>
      </c>
      <c r="I55" s="11" t="inlineStr">
        <is>
          <t>2021/22</t>
        </is>
      </c>
      <c r="J55" s="11" t="inlineStr">
        <is>
          <t>2022/23</t>
        </is>
      </c>
      <c r="K55" s="11" t="inlineStr">
        <is>
          <t>2023/24</t>
        </is>
      </c>
      <c r="L55" s="11" t="inlineStr">
        <is>
          <t>2024/25</t>
        </is>
      </c>
      <c r="M55" s="11" t="inlineStr">
        <is>
          <t>2025/26</t>
        </is>
      </c>
      <c r="N55" s="11" t="inlineStr">
        <is>
          <t>2026/27</t>
        </is>
      </c>
    </row>
    <row r="56">
      <c r="A56" s="5" t="inlineStr">
        <is>
          <t>Area Harvested</t>
        </is>
      </c>
      <c r="B56" s="12" t="inlineStr">
        <is>
          <t>Million Ha (Mha)</t>
        </is>
      </c>
      <c r="C56" s="13" t="n">
        <v>8.042</v>
      </c>
      <c r="D56" s="13" t="n">
        <v>7.955</v>
      </c>
      <c r="E56" s="13" t="n">
        <v>7.714</v>
      </c>
      <c r="F56" s="13" t="n">
        <v>7.784</v>
      </c>
      <c r="G56" s="13" t="n">
        <v>8.403</v>
      </c>
      <c r="H56" s="13" t="n">
        <v>8.16</v>
      </c>
      <c r="I56" s="13" t="n">
        <v>7.688</v>
      </c>
      <c r="J56" s="13" t="n">
        <v>7.75</v>
      </c>
      <c r="K56" s="13" t="n">
        <v>7.65</v>
      </c>
      <c r="L56" s="13" t="n">
        <v>6.6</v>
      </c>
      <c r="M56" s="13" t="n">
        <v>6.4</v>
      </c>
      <c r="N56" s="13" t="n">
        <v>6.6</v>
      </c>
    </row>
    <row r="57">
      <c r="A57" s="5" t="inlineStr">
        <is>
          <t>Yield</t>
        </is>
      </c>
      <c r="B57" s="12" t="inlineStr">
        <is>
          <t>MT / Ha</t>
        </is>
      </c>
      <c r="C57" s="13" t="n">
        <v>2.12</v>
      </c>
      <c r="D57" s="13" t="n">
        <v>2.21</v>
      </c>
      <c r="E57" s="13" t="n">
        <v>2.62</v>
      </c>
      <c r="F57" s="13" t="n">
        <v>2.15</v>
      </c>
      <c r="G57" s="13" t="n">
        <v>2.37</v>
      </c>
      <c r="H57" s="13" t="n">
        <v>2.53</v>
      </c>
      <c r="I57" s="13" t="n">
        <v>2.28</v>
      </c>
      <c r="J57" s="13" t="n">
        <v>2.77</v>
      </c>
      <c r="K57" s="13" t="n">
        <v>2.68</v>
      </c>
      <c r="L57" s="13" t="n">
        <v>2.46</v>
      </c>
      <c r="M57" s="13" t="n">
        <v>3.03</v>
      </c>
      <c r="N57" s="13" t="n">
        <v>2.95</v>
      </c>
    </row>
    <row r="58">
      <c r="A58" s="4" t="inlineStr">
        <is>
          <t>Beginning Stocks</t>
        </is>
      </c>
      <c r="B58" s="12" t="inlineStr">
        <is>
          <t>MMT</t>
        </is>
      </c>
      <c r="C58" s="14" t="n">
        <v>1.51</v>
      </c>
      <c r="D58" s="14" t="n">
        <v>0.729</v>
      </c>
      <c r="E58" s="14" t="n">
        <v>0.839</v>
      </c>
      <c r="F58" s="14" t="n">
        <v>0.75</v>
      </c>
      <c r="G58" s="14" t="n">
        <v>0.64</v>
      </c>
      <c r="H58" s="14" t="n">
        <v>0.743</v>
      </c>
      <c r="I58" s="14" t="n">
        <v>0.757</v>
      </c>
      <c r="J58" s="14" t="n">
        <v>0.712</v>
      </c>
      <c r="K58" s="14" t="n">
        <v>1.062</v>
      </c>
      <c r="L58" s="14" t="n">
        <v>0.712</v>
      </c>
      <c r="M58" s="14" t="n">
        <v>0.312</v>
      </c>
      <c r="N58" s="14" t="n">
        <v>0.5620000000000001</v>
      </c>
    </row>
    <row r="59">
      <c r="A59" s="5" t="inlineStr">
        <is>
          <t>Production (Harvest)</t>
        </is>
      </c>
      <c r="B59" s="12" t="inlineStr">
        <is>
          <t>MMT</t>
        </is>
      </c>
      <c r="C59" s="14" t="n">
        <v>17.083</v>
      </c>
      <c r="D59" s="14" t="n">
        <v>17.547</v>
      </c>
      <c r="E59" s="14" t="n">
        <v>20.211</v>
      </c>
      <c r="F59" s="14" t="n">
        <v>16.737</v>
      </c>
      <c r="G59" s="14" t="n">
        <v>19.939</v>
      </c>
      <c r="H59" s="14" t="n">
        <v>20.629</v>
      </c>
      <c r="I59" s="14" t="n">
        <v>17.505</v>
      </c>
      <c r="J59" s="14" t="n">
        <v>21.5</v>
      </c>
      <c r="K59" s="14" t="n">
        <v>20.5</v>
      </c>
      <c r="L59" s="14" t="n">
        <v>16.25</v>
      </c>
      <c r="M59" s="14" t="n">
        <v>19.4</v>
      </c>
      <c r="N59" s="14" t="n">
        <v>19.5</v>
      </c>
    </row>
    <row r="60">
      <c r="A60" s="5" t="inlineStr">
        <is>
          <t>Imports</t>
        </is>
      </c>
      <c r="B60" s="12" t="inlineStr">
        <is>
          <t>MMT</t>
        </is>
      </c>
      <c r="C60" s="14" t="n">
        <v>0.077</v>
      </c>
      <c r="D60" s="14" t="n">
        <v>0.214</v>
      </c>
      <c r="E60" s="14" t="n">
        <v>0.08400000000000001</v>
      </c>
      <c r="F60" s="14" t="n">
        <v>0.014</v>
      </c>
      <c r="G60" s="14" t="n">
        <v>0.034</v>
      </c>
      <c r="H60" s="14" t="n">
        <v>0.044</v>
      </c>
      <c r="I60" s="14" t="n">
        <v>0.05</v>
      </c>
      <c r="J60" s="14" t="n">
        <v>0.05</v>
      </c>
      <c r="K60" s="14" t="n">
        <v>0.05</v>
      </c>
      <c r="L60" s="14" t="n">
        <v>0.05</v>
      </c>
      <c r="M60" s="14" t="n">
        <v>0.05</v>
      </c>
      <c r="N60" s="14" t="n">
        <v>0.05</v>
      </c>
    </row>
    <row r="61">
      <c r="A61" s="4">
        <f> Total Supply</f>
        <v/>
      </c>
      <c r="B61" s="12" t="inlineStr">
        <is>
          <t>Formula: Beg+Prod+Imp</t>
        </is>
      </c>
      <c r="C61" s="15">
        <f>SUM(C58:C60)</f>
        <v/>
      </c>
      <c r="D61" s="15">
        <f>SUM(D58:D60)</f>
        <v/>
      </c>
      <c r="E61" s="15">
        <f>SUM(E58:E60)</f>
        <v/>
      </c>
      <c r="F61" s="15">
        <f>SUM(F58:F60)</f>
        <v/>
      </c>
      <c r="G61" s="15">
        <f>SUM(G58:G60)</f>
        <v/>
      </c>
      <c r="H61" s="15">
        <f>SUM(H58:H60)</f>
        <v/>
      </c>
      <c r="I61" s="15">
        <f>SUM(I58:I60)</f>
        <v/>
      </c>
      <c r="J61" s="15">
        <f>SUM(J58:J60)</f>
        <v/>
      </c>
      <c r="K61" s="15">
        <f>SUM(K58:K60)</f>
        <v/>
      </c>
      <c r="L61" s="15">
        <f>SUM(L58:L60)</f>
        <v/>
      </c>
      <c r="M61" s="15">
        <f>SUM(M58:M60)</f>
        <v/>
      </c>
      <c r="N61" s="15">
        <f>SUM(N58:N60)</f>
        <v/>
      </c>
    </row>
    <row r="62">
      <c r="A62" s="5" t="inlineStr">
        <is>
          <t>Crush (Oilseeds)</t>
        </is>
      </c>
      <c r="B62" s="12" t="inlineStr">
        <is>
          <t>MMT</t>
        </is>
      </c>
      <c r="C62" s="14" t="n">
        <v>0</v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</row>
    <row r="63">
      <c r="A63" s="5" t="inlineStr">
        <is>
          <t>Feed &amp; Residual</t>
        </is>
      </c>
      <c r="B63" s="12" t="inlineStr">
        <is>
          <t>MMT</t>
        </is>
      </c>
      <c r="C63" s="14" t="n">
        <v>9</v>
      </c>
      <c r="D63" s="14" t="n">
        <v>10</v>
      </c>
      <c r="E63" s="14" t="n">
        <v>9.9</v>
      </c>
      <c r="F63" s="14" t="n">
        <v>7.8</v>
      </c>
      <c r="G63" s="14" t="n">
        <v>10.5</v>
      </c>
      <c r="H63" s="14" t="n">
        <v>9.5</v>
      </c>
      <c r="I63" s="14" t="n">
        <v>9.699999999999999</v>
      </c>
      <c r="J63" s="14" t="n">
        <v>11.8</v>
      </c>
      <c r="K63" s="14" t="n">
        <v>9.800000000000001</v>
      </c>
      <c r="L63" s="14" t="n">
        <v>8.9</v>
      </c>
      <c r="M63" s="14" t="n">
        <v>9.800000000000001</v>
      </c>
      <c r="N63" s="14" t="n">
        <v>10.8</v>
      </c>
    </row>
    <row r="64">
      <c r="A64" s="5" t="inlineStr">
        <is>
          <t>FSI / Food &amp; Industrial</t>
        </is>
      </c>
      <c r="B64" s="12" t="inlineStr">
        <is>
          <t>MMT</t>
        </is>
      </c>
      <c r="C64" s="14" t="n">
        <v>4.7</v>
      </c>
      <c r="D64" s="14" t="n">
        <v>4.7</v>
      </c>
      <c r="E64" s="14" t="n">
        <v>4.6</v>
      </c>
      <c r="F64" s="14" t="n">
        <v>4.4</v>
      </c>
      <c r="G64" s="14" t="n">
        <v>4.9</v>
      </c>
      <c r="H64" s="14" t="n">
        <v>4.9</v>
      </c>
      <c r="I64" s="14" t="n">
        <v>4.6</v>
      </c>
      <c r="J64" s="14" t="n">
        <v>4.9</v>
      </c>
      <c r="K64" s="14" t="n">
        <v>4.9</v>
      </c>
      <c r="L64" s="14" t="n">
        <v>4.4</v>
      </c>
      <c r="M64" s="14" t="n">
        <v>4.9</v>
      </c>
      <c r="N64" s="14" t="n">
        <v>4.9</v>
      </c>
    </row>
    <row r="65">
      <c r="A65" s="5" t="inlineStr">
        <is>
          <t>Total Domestic Consumption</t>
        </is>
      </c>
      <c r="B65" s="12" t="inlineStr">
        <is>
          <t>MMT</t>
        </is>
      </c>
      <c r="C65" s="14" t="n">
        <v>13.7</v>
      </c>
      <c r="D65" s="14" t="n">
        <v>14.7</v>
      </c>
      <c r="E65" s="14" t="n">
        <v>14.5</v>
      </c>
      <c r="F65" s="14" t="n">
        <v>12.2</v>
      </c>
      <c r="G65" s="14" t="n">
        <v>15.4</v>
      </c>
      <c r="H65" s="14" t="n">
        <v>14.4</v>
      </c>
      <c r="I65" s="14" t="n">
        <v>14.3</v>
      </c>
      <c r="J65" s="14" t="n">
        <v>16.7</v>
      </c>
      <c r="K65" s="14" t="n">
        <v>14.7</v>
      </c>
      <c r="L65" s="14" t="n">
        <v>13.3</v>
      </c>
      <c r="M65" s="14" t="n">
        <v>14.7</v>
      </c>
      <c r="N65" s="14" t="n">
        <v>15.7</v>
      </c>
    </row>
    <row r="66">
      <c r="A66" s="5" t="inlineStr">
        <is>
          <t>Exports (MY)</t>
        </is>
      </c>
      <c r="B66" s="12" t="inlineStr">
        <is>
          <t>MMT</t>
        </is>
      </c>
      <c r="C66" s="14" t="n">
        <v>4.241</v>
      </c>
      <c r="D66" s="14" t="n">
        <v>2.951</v>
      </c>
      <c r="E66" s="14" t="n">
        <v>5.884</v>
      </c>
      <c r="F66" s="14" t="n">
        <v>4.661</v>
      </c>
      <c r="G66" s="14" t="n">
        <v>4.47</v>
      </c>
      <c r="H66" s="14" t="n">
        <v>6.259</v>
      </c>
      <c r="I66" s="14" t="n">
        <v>3.3</v>
      </c>
      <c r="J66" s="14" t="n">
        <v>4.5</v>
      </c>
      <c r="K66" s="14" t="n">
        <v>6.2</v>
      </c>
      <c r="L66" s="14" t="n">
        <v>3.4</v>
      </c>
      <c r="M66" s="14" t="n">
        <v>4.5</v>
      </c>
      <c r="N66" s="14" t="n">
        <v>3.4</v>
      </c>
    </row>
    <row r="67">
      <c r="A67" s="4">
        <f> Total Disappearance</f>
        <v/>
      </c>
      <c r="B67" s="12" t="inlineStr">
        <is>
          <t>Formula: Dom+Exp</t>
        </is>
      </c>
      <c r="C67" s="15">
        <f>C65+C66</f>
        <v/>
      </c>
      <c r="D67" s="15">
        <f>D65+D66</f>
        <v/>
      </c>
      <c r="E67" s="15">
        <f>E65+E66</f>
        <v/>
      </c>
      <c r="F67" s="15">
        <f>F65+F66</f>
        <v/>
      </c>
      <c r="G67" s="15">
        <f>G65+G66</f>
        <v/>
      </c>
      <c r="H67" s="15">
        <f>H65+H66</f>
        <v/>
      </c>
      <c r="I67" s="15">
        <f>I65+I66</f>
        <v/>
      </c>
      <c r="J67" s="15">
        <f>J65+J66</f>
        <v/>
      </c>
      <c r="K67" s="15">
        <f>K65+K66</f>
        <v/>
      </c>
      <c r="L67" s="15">
        <f>L65+L66</f>
        <v/>
      </c>
      <c r="M67" s="15">
        <f>M65+M66</f>
        <v/>
      </c>
      <c r="N67" s="15">
        <f>N65+N66</f>
        <v/>
      </c>
    </row>
    <row r="68">
      <c r="A68" s="4" t="inlineStr">
        <is>
          <t>Ending Stocks</t>
        </is>
      </c>
      <c r="B68" s="12" t="inlineStr">
        <is>
          <t>MMT</t>
        </is>
      </c>
      <c r="C68" s="16" t="n">
        <v>0.729</v>
      </c>
      <c r="D68" s="16" t="n">
        <v>0.839</v>
      </c>
      <c r="E68" s="16" t="n">
        <v>0.75</v>
      </c>
      <c r="F68" s="16" t="n">
        <v>0.64</v>
      </c>
      <c r="G68" s="16" t="n">
        <v>0.743</v>
      </c>
      <c r="H68" s="16" t="n">
        <v>0.757</v>
      </c>
      <c r="I68" s="16" t="n">
        <v>0.712</v>
      </c>
      <c r="J68" s="16" t="n">
        <v>1.062</v>
      </c>
      <c r="K68" s="16" t="n">
        <v>0.712</v>
      </c>
      <c r="L68" s="16" t="n">
        <v>0.312</v>
      </c>
      <c r="M68" s="16" t="n">
        <v>0.5620000000000001</v>
      </c>
      <c r="N68" s="16" t="n">
        <v>1.012</v>
      </c>
    </row>
    <row r="69">
      <c r="A69" s="4" t="inlineStr">
        <is>
          <t>Stocks-to-Use Ratio (%)</t>
        </is>
      </c>
      <c r="B69" s="12" t="inlineStr">
        <is>
          <t>Formula: End/TotUse</t>
        </is>
      </c>
      <c r="C69" s="17">
        <f>IF(C67&gt;0, C68/C67, 0)</f>
        <v/>
      </c>
      <c r="D69" s="17">
        <f>IF(D67&gt;0, D68/D67, 0)</f>
        <v/>
      </c>
      <c r="E69" s="17">
        <f>IF(E67&gt;0, E68/E67, 0)</f>
        <v/>
      </c>
      <c r="F69" s="17">
        <f>IF(F67&gt;0, F68/F67, 0)</f>
        <v/>
      </c>
      <c r="G69" s="17">
        <f>IF(G67&gt;0, G68/G67, 0)</f>
        <v/>
      </c>
      <c r="H69" s="17">
        <f>IF(H67&gt;0, H68/H67, 0)</f>
        <v/>
      </c>
      <c r="I69" s="17">
        <f>IF(I67&gt;0, I68/I67, 0)</f>
        <v/>
      </c>
      <c r="J69" s="17">
        <f>IF(J67&gt;0, J68/J67, 0)</f>
        <v/>
      </c>
      <c r="K69" s="17">
        <f>IF(K67&gt;0, K68/K67, 0)</f>
        <v/>
      </c>
      <c r="L69" s="17">
        <f>IF(L67&gt;0, L68/L67, 0)</f>
        <v/>
      </c>
      <c r="M69" s="17">
        <f>IF(M67&gt;0, M68/M67, 0)</f>
        <v/>
      </c>
      <c r="N69" s="17">
        <f>IF(N67&gt;0, N68/N67, 0)</f>
        <v/>
      </c>
    </row>
    <row r="72">
      <c r="A72" s="10" t="inlineStr">
        <is>
          <t>RU — SUNFLOWERSEED BALANCE SHEET (MMT)</t>
        </is>
      </c>
      <c r="B72" s="11" t="inlineStr">
        <is>
          <t>Unit / Formula</t>
        </is>
      </c>
      <c r="C72" s="11" t="inlineStr">
        <is>
          <t>2015/16</t>
        </is>
      </c>
      <c r="D72" s="11" t="inlineStr">
        <is>
          <t>2016/17</t>
        </is>
      </c>
      <c r="E72" s="11" t="inlineStr">
        <is>
          <t>2017/18</t>
        </is>
      </c>
      <c r="F72" s="11" t="inlineStr">
        <is>
          <t>2018/19</t>
        </is>
      </c>
      <c r="G72" s="11" t="inlineStr">
        <is>
          <t>2019/20</t>
        </is>
      </c>
      <c r="H72" s="11" t="inlineStr">
        <is>
          <t>2020/21</t>
        </is>
      </c>
      <c r="I72" s="11" t="inlineStr">
        <is>
          <t>2021/22</t>
        </is>
      </c>
      <c r="J72" s="11" t="inlineStr">
        <is>
          <t>2022/23</t>
        </is>
      </c>
      <c r="K72" s="11" t="inlineStr">
        <is>
          <t>2023/24</t>
        </is>
      </c>
      <c r="L72" s="11" t="inlineStr">
        <is>
          <t>2024/25</t>
        </is>
      </c>
      <c r="M72" s="11" t="inlineStr">
        <is>
          <t>2025/26</t>
        </is>
      </c>
      <c r="N72" s="11" t="inlineStr">
        <is>
          <t>2026/27</t>
        </is>
      </c>
    </row>
    <row r="73">
      <c r="A73" s="5" t="inlineStr">
        <is>
          <t>Area Harvested</t>
        </is>
      </c>
      <c r="B73" s="12" t="inlineStr">
        <is>
          <t>Million Ha (Mha)</t>
        </is>
      </c>
      <c r="C73" s="13" t="n">
        <v>6.454</v>
      </c>
      <c r="D73" s="13" t="n">
        <v>7.175</v>
      </c>
      <c r="E73" s="13" t="n">
        <v>7.146</v>
      </c>
      <c r="F73" s="13" t="n">
        <v>7.944</v>
      </c>
      <c r="G73" s="13" t="n">
        <v>8.363</v>
      </c>
      <c r="H73" s="13" t="n">
        <v>8.345000000000001</v>
      </c>
      <c r="I73" s="13" t="n">
        <v>9.612</v>
      </c>
      <c r="J73" s="13" t="n">
        <v>9.111000000000001</v>
      </c>
      <c r="K73" s="13" t="n">
        <v>9.300000000000001</v>
      </c>
      <c r="L73" s="13" t="n">
        <v>9.6</v>
      </c>
      <c r="M73" s="13" t="n">
        <v>10.5</v>
      </c>
      <c r="N73" s="13" t="n">
        <v>11.8</v>
      </c>
    </row>
    <row r="74">
      <c r="A74" s="5" t="inlineStr">
        <is>
          <t>Yield</t>
        </is>
      </c>
      <c r="B74" s="12" t="inlineStr">
        <is>
          <t>MT / Ha</t>
        </is>
      </c>
      <c r="C74" s="13" t="n">
        <v>1.42</v>
      </c>
      <c r="D74" s="13" t="n">
        <v>1.51</v>
      </c>
      <c r="E74" s="13" t="n">
        <v>1.45</v>
      </c>
      <c r="F74" s="13" t="n">
        <v>1.6</v>
      </c>
      <c r="G74" s="13" t="n">
        <v>1.83</v>
      </c>
      <c r="H74" s="13" t="n">
        <v>1.59</v>
      </c>
      <c r="I74" s="13" t="n">
        <v>1.62</v>
      </c>
      <c r="J74" s="13" t="n">
        <v>1.78</v>
      </c>
      <c r="K74" s="13" t="n">
        <v>1.84</v>
      </c>
      <c r="L74" s="13" t="n">
        <v>1.76</v>
      </c>
      <c r="M74" s="13" t="n">
        <v>1.67</v>
      </c>
      <c r="N74" s="13" t="n">
        <v>1.78</v>
      </c>
    </row>
    <row r="75">
      <c r="A75" s="4" t="inlineStr">
        <is>
          <t>Beginning Stocks</t>
        </is>
      </c>
      <c r="B75" s="12" t="inlineStr">
        <is>
          <t>MMT</t>
        </is>
      </c>
      <c r="C75" s="14" t="n">
        <v>0.25</v>
      </c>
      <c r="D75" s="14" t="n">
        <v>0.327</v>
      </c>
      <c r="E75" s="14" t="n">
        <v>0.324</v>
      </c>
      <c r="F75" s="14" t="n">
        <v>0.179</v>
      </c>
      <c r="G75" s="14" t="n">
        <v>0.228</v>
      </c>
      <c r="H75" s="14" t="n">
        <v>0.136</v>
      </c>
      <c r="I75" s="14" t="n">
        <v>0.096</v>
      </c>
      <c r="J75" s="14" t="n">
        <v>1.018</v>
      </c>
      <c r="K75" s="14" t="n">
        <v>0.907</v>
      </c>
      <c r="L75" s="14" t="n">
        <v>0.717</v>
      </c>
      <c r="M75" s="14" t="n">
        <v>0.697</v>
      </c>
      <c r="N75" s="14" t="n">
        <v>0.897</v>
      </c>
    </row>
    <row r="76">
      <c r="A76" s="5" t="inlineStr">
        <is>
          <t>Production (Harvest)</t>
        </is>
      </c>
      <c r="B76" s="12" t="inlineStr">
        <is>
          <t>MMT</t>
        </is>
      </c>
      <c r="C76" s="14" t="n">
        <v>9.173</v>
      </c>
      <c r="D76" s="14" t="n">
        <v>10.858</v>
      </c>
      <c r="E76" s="14" t="n">
        <v>10.362</v>
      </c>
      <c r="F76" s="14" t="n">
        <v>12.71</v>
      </c>
      <c r="G76" s="14" t="n">
        <v>15.305</v>
      </c>
      <c r="H76" s="14" t="n">
        <v>13.269</v>
      </c>
      <c r="I76" s="14" t="n">
        <v>15.572</v>
      </c>
      <c r="J76" s="14" t="n">
        <v>16.254</v>
      </c>
      <c r="K76" s="14" t="n">
        <v>17.1</v>
      </c>
      <c r="L76" s="14" t="n">
        <v>16.9</v>
      </c>
      <c r="M76" s="14" t="n">
        <v>17.5</v>
      </c>
      <c r="N76" s="14" t="n">
        <v>21</v>
      </c>
    </row>
    <row r="77">
      <c r="A77" s="5" t="inlineStr">
        <is>
          <t>Imports</t>
        </is>
      </c>
      <c r="B77" s="12" t="inlineStr">
        <is>
          <t>MMT</t>
        </is>
      </c>
      <c r="C77" s="14" t="n">
        <v>0.121</v>
      </c>
      <c r="D77" s="14" t="n">
        <v>0.107</v>
      </c>
      <c r="E77" s="14" t="n">
        <v>0.047</v>
      </c>
      <c r="F77" s="14" t="n">
        <v>0.052</v>
      </c>
      <c r="G77" s="14" t="n">
        <v>0.056</v>
      </c>
      <c r="H77" s="14" t="n">
        <v>0.07000000000000001</v>
      </c>
      <c r="I77" s="14" t="n">
        <v>0.075</v>
      </c>
      <c r="J77" s="14" t="n">
        <v>0.075</v>
      </c>
      <c r="K77" s="14" t="n">
        <v>0.065</v>
      </c>
      <c r="L77" s="14" t="n">
        <v>0.08</v>
      </c>
      <c r="M77" s="14" t="n">
        <v>0.12</v>
      </c>
      <c r="N77" s="14" t="n">
        <v>0.05</v>
      </c>
    </row>
    <row r="78">
      <c r="A78" s="4">
        <f> Total Supply</f>
        <v/>
      </c>
      <c r="B78" s="12" t="inlineStr">
        <is>
          <t>Formula: Beg+Prod+Imp</t>
        </is>
      </c>
      <c r="C78" s="15">
        <f>SUM(C75:C77)</f>
        <v/>
      </c>
      <c r="D78" s="15">
        <f>SUM(D75:D77)</f>
        <v/>
      </c>
      <c r="E78" s="15">
        <f>SUM(E75:E77)</f>
        <v/>
      </c>
      <c r="F78" s="15">
        <f>SUM(F75:F77)</f>
        <v/>
      </c>
      <c r="G78" s="15">
        <f>SUM(G75:G77)</f>
        <v/>
      </c>
      <c r="H78" s="15">
        <f>SUM(H75:H77)</f>
        <v/>
      </c>
      <c r="I78" s="15">
        <f>SUM(I75:I77)</f>
        <v/>
      </c>
      <c r="J78" s="15">
        <f>SUM(J75:J77)</f>
        <v/>
      </c>
      <c r="K78" s="15">
        <f>SUM(K75:K77)</f>
        <v/>
      </c>
      <c r="L78" s="15">
        <f>SUM(L75:L77)</f>
        <v/>
      </c>
      <c r="M78" s="15">
        <f>SUM(M75:M77)</f>
        <v/>
      </c>
      <c r="N78" s="15">
        <f>SUM(N75:N77)</f>
        <v/>
      </c>
    </row>
    <row r="79">
      <c r="A79" s="5" t="inlineStr">
        <is>
          <t>Crush (Oilseeds)</t>
        </is>
      </c>
      <c r="B79" s="12" t="inlineStr">
        <is>
          <t>MMT</t>
        </is>
      </c>
      <c r="C79" s="14" t="n">
        <v>8.6</v>
      </c>
      <c r="D79" s="14" t="n">
        <v>10.1</v>
      </c>
      <c r="E79" s="14" t="n">
        <v>10.15</v>
      </c>
      <c r="F79" s="14" t="n">
        <v>11.95</v>
      </c>
      <c r="G79" s="14" t="n">
        <v>13.8</v>
      </c>
      <c r="H79" s="14" t="n">
        <v>12.4</v>
      </c>
      <c r="I79" s="14" t="n">
        <v>14</v>
      </c>
      <c r="J79" s="14" t="n">
        <v>15.7</v>
      </c>
      <c r="K79" s="14" t="n">
        <v>16.5</v>
      </c>
      <c r="L79" s="14" t="n">
        <v>16.3</v>
      </c>
      <c r="M79" s="14" t="n">
        <v>16.7</v>
      </c>
      <c r="N79" s="14" t="n">
        <v>18.9</v>
      </c>
    </row>
    <row r="80">
      <c r="A80" s="5" t="inlineStr">
        <is>
          <t>Feed &amp; Residual</t>
        </is>
      </c>
      <c r="B80" s="12" t="inlineStr">
        <is>
          <t>MMT</t>
        </is>
      </c>
      <c r="C80" s="14" t="n">
        <v>0.32</v>
      </c>
      <c r="D80" s="14" t="n">
        <v>0.3</v>
      </c>
      <c r="E80" s="14" t="n">
        <v>0.126</v>
      </c>
      <c r="F80" s="14" t="n">
        <v>0.2</v>
      </c>
      <c r="G80" s="14" t="n">
        <v>0.2</v>
      </c>
      <c r="H80" s="14" t="n">
        <v>0.225</v>
      </c>
      <c r="I80" s="14" t="n">
        <v>0.25</v>
      </c>
      <c r="J80" s="14" t="n">
        <v>0.28</v>
      </c>
      <c r="K80" s="14" t="n">
        <v>0.28</v>
      </c>
      <c r="L80" s="14" t="n">
        <v>0.3</v>
      </c>
      <c r="M80" s="14" t="n">
        <v>0.32</v>
      </c>
      <c r="N80" s="14" t="n">
        <v>0.48</v>
      </c>
    </row>
    <row r="81">
      <c r="A81" s="5" t="inlineStr">
        <is>
          <t>FSI / Food &amp; Industrial</t>
        </is>
      </c>
      <c r="B81" s="12" t="inlineStr">
        <is>
          <t>MMT</t>
        </is>
      </c>
      <c r="C81" s="14" t="n">
        <v>0.19</v>
      </c>
      <c r="D81" s="14" t="n">
        <v>0.2</v>
      </c>
      <c r="E81" s="14" t="n">
        <v>0.18</v>
      </c>
      <c r="F81" s="14" t="n">
        <v>0.2</v>
      </c>
      <c r="G81" s="14" t="n">
        <v>0.2</v>
      </c>
      <c r="H81" s="14" t="n">
        <v>0.2</v>
      </c>
      <c r="I81" s="14" t="n">
        <v>0.2</v>
      </c>
      <c r="J81" s="14" t="n">
        <v>0.2</v>
      </c>
      <c r="K81" s="14" t="n">
        <v>0.2</v>
      </c>
      <c r="L81" s="14" t="n">
        <v>0.2</v>
      </c>
      <c r="M81" s="14" t="n">
        <v>0.2</v>
      </c>
      <c r="N81" s="14" t="n">
        <v>0.225</v>
      </c>
    </row>
    <row r="82">
      <c r="A82" s="5" t="inlineStr">
        <is>
          <t>Total Domestic Consumption</t>
        </is>
      </c>
      <c r="B82" s="12" t="inlineStr">
        <is>
          <t>MMT</t>
        </is>
      </c>
      <c r="C82" s="14" t="n">
        <v>9.109999999999999</v>
      </c>
      <c r="D82" s="14" t="n">
        <v>10.6</v>
      </c>
      <c r="E82" s="14" t="n">
        <v>10.456</v>
      </c>
      <c r="F82" s="14" t="n">
        <v>12.35</v>
      </c>
      <c r="G82" s="14" t="n">
        <v>14.2</v>
      </c>
      <c r="H82" s="14" t="n">
        <v>12.825</v>
      </c>
      <c r="I82" s="14" t="n">
        <v>14.45</v>
      </c>
      <c r="J82" s="14" t="n">
        <v>16.18</v>
      </c>
      <c r="K82" s="14" t="n">
        <v>16.98</v>
      </c>
      <c r="L82" s="14" t="n">
        <v>16.8</v>
      </c>
      <c r="M82" s="14" t="n">
        <v>17.22</v>
      </c>
      <c r="N82" s="14" t="n">
        <v>19.605</v>
      </c>
    </row>
    <row r="83">
      <c r="A83" s="5" t="inlineStr">
        <is>
          <t>Exports (MY)</t>
        </is>
      </c>
      <c r="B83" s="12" t="inlineStr">
        <is>
          <t>MMT</t>
        </is>
      </c>
      <c r="C83" s="14" t="n">
        <v>0.107</v>
      </c>
      <c r="D83" s="14" t="n">
        <v>0.368</v>
      </c>
      <c r="E83" s="14" t="n">
        <v>0.098</v>
      </c>
      <c r="F83" s="14" t="n">
        <v>0.363</v>
      </c>
      <c r="G83" s="14" t="n">
        <v>1.253</v>
      </c>
      <c r="H83" s="14" t="n">
        <v>0.554</v>
      </c>
      <c r="I83" s="14" t="n">
        <v>0.275</v>
      </c>
      <c r="J83" s="14" t="n">
        <v>0.26</v>
      </c>
      <c r="K83" s="14" t="n">
        <v>0.375</v>
      </c>
      <c r="L83" s="14" t="n">
        <v>0.2</v>
      </c>
      <c r="M83" s="14" t="n">
        <v>0.2</v>
      </c>
      <c r="N83" s="14" t="n">
        <v>0.6</v>
      </c>
    </row>
    <row r="84">
      <c r="A84" s="4">
        <f> Total Disappearance</f>
        <v/>
      </c>
      <c r="B84" s="12" t="inlineStr">
        <is>
          <t>Formula: Dom+Exp</t>
        </is>
      </c>
      <c r="C84" s="15">
        <f>C82+C83</f>
        <v/>
      </c>
      <c r="D84" s="15">
        <f>D82+D83</f>
        <v/>
      </c>
      <c r="E84" s="15">
        <f>E82+E83</f>
        <v/>
      </c>
      <c r="F84" s="15">
        <f>F82+F83</f>
        <v/>
      </c>
      <c r="G84" s="15">
        <f>G82+G83</f>
        <v/>
      </c>
      <c r="H84" s="15">
        <f>H82+H83</f>
        <v/>
      </c>
      <c r="I84" s="15">
        <f>I82+I83</f>
        <v/>
      </c>
      <c r="J84" s="15">
        <f>J82+J83</f>
        <v/>
      </c>
      <c r="K84" s="15">
        <f>K82+K83</f>
        <v/>
      </c>
      <c r="L84" s="15">
        <f>L82+L83</f>
        <v/>
      </c>
      <c r="M84" s="15">
        <f>M82+M83</f>
        <v/>
      </c>
      <c r="N84" s="15">
        <f>N82+N83</f>
        <v/>
      </c>
    </row>
    <row r="85">
      <c r="A85" s="4" t="inlineStr">
        <is>
          <t>Ending Stocks</t>
        </is>
      </c>
      <c r="B85" s="12" t="inlineStr">
        <is>
          <t>MMT</t>
        </is>
      </c>
      <c r="C85" s="16" t="n">
        <v>0.327</v>
      </c>
      <c r="D85" s="16" t="n">
        <v>0.324</v>
      </c>
      <c r="E85" s="16" t="n">
        <v>0.179</v>
      </c>
      <c r="F85" s="16" t="n">
        <v>0.228</v>
      </c>
      <c r="G85" s="16" t="n">
        <v>0.136</v>
      </c>
      <c r="H85" s="16" t="n">
        <v>0.096</v>
      </c>
      <c r="I85" s="16" t="n">
        <v>1.018</v>
      </c>
      <c r="J85" s="16" t="n">
        <v>0.907</v>
      </c>
      <c r="K85" s="16" t="n">
        <v>0.717</v>
      </c>
      <c r="L85" s="16" t="n">
        <v>0.697</v>
      </c>
      <c r="M85" s="16" t="n">
        <v>0.897</v>
      </c>
      <c r="N85" s="16" t="n">
        <v>1.742</v>
      </c>
    </row>
    <row r="86">
      <c r="A86" s="4" t="inlineStr">
        <is>
          <t>Stocks-to-Use Ratio (%)</t>
        </is>
      </c>
      <c r="B86" s="12" t="inlineStr">
        <is>
          <t>Formula: End/TotUse</t>
        </is>
      </c>
      <c r="C86" s="17">
        <f>IF(C84&gt;0, C85/C84, 0)</f>
        <v/>
      </c>
      <c r="D86" s="17">
        <f>IF(D84&gt;0, D85/D84, 0)</f>
        <v/>
      </c>
      <c r="E86" s="17">
        <f>IF(E84&gt;0, E85/E84, 0)</f>
        <v/>
      </c>
      <c r="F86" s="17">
        <f>IF(F84&gt;0, F85/F84, 0)</f>
        <v/>
      </c>
      <c r="G86" s="17">
        <f>IF(G84&gt;0, G85/G84, 0)</f>
        <v/>
      </c>
      <c r="H86" s="17">
        <f>IF(H84&gt;0, H85/H84, 0)</f>
        <v/>
      </c>
      <c r="I86" s="17">
        <f>IF(I84&gt;0, I85/I84, 0)</f>
        <v/>
      </c>
      <c r="J86" s="17">
        <f>IF(J84&gt;0, J85/J84, 0)</f>
        <v/>
      </c>
      <c r="K86" s="17">
        <f>IF(K84&gt;0, K85/K84, 0)</f>
        <v/>
      </c>
      <c r="L86" s="17">
        <f>IF(L84&gt;0, L85/L84, 0)</f>
        <v/>
      </c>
      <c r="M86" s="17">
        <f>IF(M84&gt;0, M85/M84, 0)</f>
        <v/>
      </c>
      <c r="N86" s="17">
        <f>IF(N84&gt;0, N85/N84, 0)</f>
        <v/>
      </c>
    </row>
    <row r="89">
      <c r="A89" s="10" t="inlineStr">
        <is>
          <t>RU — SUNFLOWER OIL BALANCE SHEET (MMT)</t>
        </is>
      </c>
      <c r="B89" s="11" t="inlineStr">
        <is>
          <t>Unit / Formula</t>
        </is>
      </c>
      <c r="C89" s="11" t="inlineStr">
        <is>
          <t>2015/16</t>
        </is>
      </c>
      <c r="D89" s="11" t="inlineStr">
        <is>
          <t>2016/17</t>
        </is>
      </c>
      <c r="E89" s="11" t="inlineStr">
        <is>
          <t>2017/18</t>
        </is>
      </c>
      <c r="F89" s="11" t="inlineStr">
        <is>
          <t>2018/19</t>
        </is>
      </c>
      <c r="G89" s="11" t="inlineStr">
        <is>
          <t>2019/20</t>
        </is>
      </c>
      <c r="H89" s="11" t="inlineStr">
        <is>
          <t>2020/21</t>
        </is>
      </c>
      <c r="I89" s="11" t="inlineStr">
        <is>
          <t>2021/22</t>
        </is>
      </c>
      <c r="J89" s="11" t="inlineStr">
        <is>
          <t>2022/23</t>
        </is>
      </c>
      <c r="K89" s="11" t="inlineStr">
        <is>
          <t>2023/24</t>
        </is>
      </c>
      <c r="L89" s="11" t="inlineStr">
        <is>
          <t>2024/25</t>
        </is>
      </c>
      <c r="M89" s="11" t="inlineStr">
        <is>
          <t>2025/26</t>
        </is>
      </c>
      <c r="N89" s="11" t="inlineStr">
        <is>
          <t>2026/27</t>
        </is>
      </c>
    </row>
    <row r="90">
      <c r="A90" s="5" t="inlineStr">
        <is>
          <t>Area Harvested</t>
        </is>
      </c>
      <c r="B90" s="12" t="inlineStr">
        <is>
          <t>Million Ha (Mha)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</row>
    <row r="91">
      <c r="A91" s="5" t="inlineStr">
        <is>
          <t>Yield</t>
        </is>
      </c>
      <c r="B91" s="12" t="inlineStr">
        <is>
          <t>MT / Ha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</row>
    <row r="92">
      <c r="A92" s="4" t="inlineStr">
        <is>
          <t>Beginning Stocks</t>
        </is>
      </c>
      <c r="B92" s="12" t="inlineStr">
        <is>
          <t>MMT</t>
        </is>
      </c>
      <c r="C92" s="14" t="n">
        <v>0.213</v>
      </c>
      <c r="D92" s="14" t="n">
        <v>0.272</v>
      </c>
      <c r="E92" s="14" t="n">
        <v>0.245</v>
      </c>
      <c r="F92" s="14" t="n">
        <v>0.159</v>
      </c>
      <c r="G92" s="14" t="n">
        <v>0.327</v>
      </c>
      <c r="H92" s="14" t="n">
        <v>0.172</v>
      </c>
      <c r="I92" s="14" t="n">
        <v>0.053</v>
      </c>
      <c r="J92" s="14" t="n">
        <v>0.286</v>
      </c>
      <c r="K92" s="14" t="n">
        <v>0.346</v>
      </c>
      <c r="L92" s="14" t="n">
        <v>0.237</v>
      </c>
      <c r="M92" s="14" t="n">
        <v>0.195</v>
      </c>
      <c r="N92" s="14" t="n">
        <v>0.318</v>
      </c>
    </row>
    <row r="93">
      <c r="A93" s="5" t="inlineStr">
        <is>
          <t>Production (Harvest)</t>
        </is>
      </c>
      <c r="B93" s="12" t="inlineStr">
        <is>
          <t>MMT</t>
        </is>
      </c>
      <c r="C93" s="14" t="n">
        <v>3.552</v>
      </c>
      <c r="D93" s="14" t="n">
        <v>4.171</v>
      </c>
      <c r="E93" s="14" t="n">
        <v>4.192</v>
      </c>
      <c r="F93" s="14" t="n">
        <v>4.935</v>
      </c>
      <c r="G93" s="14" t="n">
        <v>5.699</v>
      </c>
      <c r="H93" s="14" t="n">
        <v>5.121</v>
      </c>
      <c r="I93" s="14" t="n">
        <v>5.782</v>
      </c>
      <c r="J93" s="14" t="n">
        <v>6.484</v>
      </c>
      <c r="K93" s="14" t="n">
        <v>6.815</v>
      </c>
      <c r="L93" s="14" t="n">
        <v>6.732</v>
      </c>
      <c r="M93" s="14" t="n">
        <v>6.897</v>
      </c>
      <c r="N93" s="14" t="n">
        <v>7.806</v>
      </c>
    </row>
    <row r="94">
      <c r="A94" s="5" t="inlineStr">
        <is>
          <t>Imports</t>
        </is>
      </c>
      <c r="B94" s="12" t="inlineStr">
        <is>
          <t>MMT</t>
        </is>
      </c>
      <c r="C94" s="14" t="n">
        <v>0.003</v>
      </c>
      <c r="D94" s="14" t="n">
        <v>0.018</v>
      </c>
      <c r="E94" s="14" t="n">
        <v>0.03</v>
      </c>
      <c r="F94" s="14" t="n">
        <v>0.01</v>
      </c>
      <c r="G94" s="14" t="n">
        <v>0.001</v>
      </c>
      <c r="H94" s="14" t="n">
        <v>0.001</v>
      </c>
      <c r="I94" s="14" t="n">
        <v>0.001</v>
      </c>
      <c r="J94" s="14" t="n">
        <v>0.001</v>
      </c>
      <c r="K94" s="14" t="n">
        <v>0.001</v>
      </c>
      <c r="L94" s="14" t="n">
        <v>0.001</v>
      </c>
      <c r="M94" s="14" t="n">
        <v>0.001</v>
      </c>
      <c r="N94" s="14" t="n">
        <v>0.001</v>
      </c>
    </row>
    <row r="95">
      <c r="A95" s="4">
        <f> Total Supply</f>
        <v/>
      </c>
      <c r="B95" s="12" t="inlineStr">
        <is>
          <t>Formula: Beg+Prod+Imp</t>
        </is>
      </c>
      <c r="C95" s="15">
        <f>SUM(C92:C94)</f>
        <v/>
      </c>
      <c r="D95" s="15">
        <f>SUM(D92:D94)</f>
        <v/>
      </c>
      <c r="E95" s="15">
        <f>SUM(E92:E94)</f>
        <v/>
      </c>
      <c r="F95" s="15">
        <f>SUM(F92:F94)</f>
        <v/>
      </c>
      <c r="G95" s="15">
        <f>SUM(G92:G94)</f>
        <v/>
      </c>
      <c r="H95" s="15">
        <f>SUM(H92:H94)</f>
        <v/>
      </c>
      <c r="I95" s="15">
        <f>SUM(I92:I94)</f>
        <v/>
      </c>
      <c r="J95" s="15">
        <f>SUM(J92:J94)</f>
        <v/>
      </c>
      <c r="K95" s="15">
        <f>SUM(K92:K94)</f>
        <v/>
      </c>
      <c r="L95" s="15">
        <f>SUM(L92:L94)</f>
        <v/>
      </c>
      <c r="M95" s="15">
        <f>SUM(M92:M94)</f>
        <v/>
      </c>
      <c r="N95" s="15">
        <f>SUM(N92:N94)</f>
        <v/>
      </c>
    </row>
    <row r="96">
      <c r="A96" s="5" t="inlineStr">
        <is>
          <t>Crush (Oilseeds)</t>
        </is>
      </c>
      <c r="B96" s="12" t="inlineStr">
        <is>
          <t>MMT</t>
        </is>
      </c>
      <c r="C96" s="14" t="n">
        <v>8.6</v>
      </c>
      <c r="D96" s="14" t="n">
        <v>10.1</v>
      </c>
      <c r="E96" s="14" t="n">
        <v>10.15</v>
      </c>
      <c r="F96" s="14" t="n">
        <v>11.95</v>
      </c>
      <c r="G96" s="14" t="n">
        <v>13.8</v>
      </c>
      <c r="H96" s="14" t="n">
        <v>12.4</v>
      </c>
      <c r="I96" s="14" t="n">
        <v>14</v>
      </c>
      <c r="J96" s="14" t="n">
        <v>15.7</v>
      </c>
      <c r="K96" s="14" t="n">
        <v>16.5</v>
      </c>
      <c r="L96" s="14" t="n">
        <v>16.3</v>
      </c>
      <c r="M96" s="14" t="n">
        <v>16.7</v>
      </c>
      <c r="N96" s="14" t="n">
        <v>18.9</v>
      </c>
    </row>
    <row r="97">
      <c r="A97" s="5" t="inlineStr">
        <is>
          <t>Feed &amp; Residual</t>
        </is>
      </c>
      <c r="B97" s="12" t="inlineStr">
        <is>
          <t>MMT</t>
        </is>
      </c>
      <c r="C97" s="14" t="n">
        <v>0.03</v>
      </c>
      <c r="D97" s="14" t="n">
        <v>0.035</v>
      </c>
      <c r="E97" s="14" t="n">
        <v>0.04</v>
      </c>
      <c r="F97" s="14" t="n">
        <v>0.04</v>
      </c>
      <c r="G97" s="14" t="n">
        <v>0.05</v>
      </c>
      <c r="H97" s="14" t="n">
        <v>0.045</v>
      </c>
      <c r="I97" s="14" t="n">
        <v>0.05</v>
      </c>
      <c r="J97" s="14" t="n">
        <v>0.05</v>
      </c>
      <c r="K97" s="14" t="n">
        <v>0.05</v>
      </c>
      <c r="L97" s="14" t="n">
        <v>0.05</v>
      </c>
      <c r="M97" s="14" t="n">
        <v>0.05</v>
      </c>
      <c r="N97" s="14" t="n">
        <v>0.05</v>
      </c>
    </row>
    <row r="98">
      <c r="A98" s="5" t="inlineStr">
        <is>
          <t>FSI / Food &amp; Industrial</t>
        </is>
      </c>
      <c r="B98" s="12" t="inlineStr">
        <is>
          <t>MMT</t>
        </is>
      </c>
      <c r="C98" s="14" t="n">
        <v>1.55</v>
      </c>
      <c r="D98" s="14" t="n">
        <v>1.625</v>
      </c>
      <c r="E98" s="14" t="n">
        <v>1.575</v>
      </c>
      <c r="F98" s="14" t="n">
        <v>1.7</v>
      </c>
      <c r="G98" s="14" t="n">
        <v>1.6</v>
      </c>
      <c r="H98" s="14" t="n">
        <v>1.55</v>
      </c>
      <c r="I98" s="14" t="n">
        <v>1.8</v>
      </c>
      <c r="J98" s="14" t="n">
        <v>1.9</v>
      </c>
      <c r="K98" s="14" t="n">
        <v>2</v>
      </c>
      <c r="L98" s="14" t="n">
        <v>2.05</v>
      </c>
      <c r="M98" s="14" t="n">
        <v>2.05</v>
      </c>
      <c r="N98" s="14" t="n">
        <v>2.175</v>
      </c>
    </row>
    <row r="99">
      <c r="A99" s="5" t="inlineStr">
        <is>
          <t>Total Domestic Consumption</t>
        </is>
      </c>
      <c r="B99" s="12" t="inlineStr">
        <is>
          <t>MMT</t>
        </is>
      </c>
      <c r="C99" s="14" t="n">
        <v>1.955</v>
      </c>
      <c r="D99" s="14" t="n">
        <v>2.038</v>
      </c>
      <c r="E99" s="14" t="n">
        <v>1.998</v>
      </c>
      <c r="F99" s="14" t="n">
        <v>2.125</v>
      </c>
      <c r="G99" s="14" t="n">
        <v>2.025</v>
      </c>
      <c r="H99" s="14" t="n">
        <v>1.995</v>
      </c>
      <c r="I99" s="14" t="n">
        <v>2.3</v>
      </c>
      <c r="J99" s="14" t="n">
        <v>2.425</v>
      </c>
      <c r="K99" s="14" t="n">
        <v>2.525</v>
      </c>
      <c r="L99" s="14" t="n">
        <v>2.575</v>
      </c>
      <c r="M99" s="14" t="n">
        <v>2.575</v>
      </c>
      <c r="N99" s="14" t="n">
        <v>2.7</v>
      </c>
    </row>
    <row r="100">
      <c r="A100" s="5" t="inlineStr">
        <is>
          <t>Exports (MY)</t>
        </is>
      </c>
      <c r="B100" s="12" t="inlineStr">
        <is>
          <t>MMT</t>
        </is>
      </c>
      <c r="C100" s="14" t="n">
        <v>1.541</v>
      </c>
      <c r="D100" s="14" t="n">
        <v>2.178</v>
      </c>
      <c r="E100" s="14" t="n">
        <v>2.31</v>
      </c>
      <c r="F100" s="14" t="n">
        <v>2.652</v>
      </c>
      <c r="G100" s="14" t="n">
        <v>3.83</v>
      </c>
      <c r="H100" s="14" t="n">
        <v>3.246</v>
      </c>
      <c r="I100" s="14" t="n">
        <v>3.25</v>
      </c>
      <c r="J100" s="14" t="n">
        <v>4</v>
      </c>
      <c r="K100" s="14" t="n">
        <v>4.4</v>
      </c>
      <c r="L100" s="14" t="n">
        <v>4.2</v>
      </c>
      <c r="M100" s="14" t="n">
        <v>4.2</v>
      </c>
      <c r="N100" s="14" t="n">
        <v>5.1</v>
      </c>
    </row>
    <row r="101">
      <c r="A101" s="4">
        <f> Total Disappearance</f>
        <v/>
      </c>
      <c r="B101" s="12" t="inlineStr">
        <is>
          <t>Formula: Dom+Exp</t>
        </is>
      </c>
      <c r="C101" s="15">
        <f>C99+C100</f>
        <v/>
      </c>
      <c r="D101" s="15">
        <f>D99+D100</f>
        <v/>
      </c>
      <c r="E101" s="15">
        <f>E99+E100</f>
        <v/>
      </c>
      <c r="F101" s="15">
        <f>F99+F100</f>
        <v/>
      </c>
      <c r="G101" s="15">
        <f>G99+G100</f>
        <v/>
      </c>
      <c r="H101" s="15">
        <f>H99+H100</f>
        <v/>
      </c>
      <c r="I101" s="15">
        <f>I99+I100</f>
        <v/>
      </c>
      <c r="J101" s="15">
        <f>J99+J100</f>
        <v/>
      </c>
      <c r="K101" s="15">
        <f>K99+K100</f>
        <v/>
      </c>
      <c r="L101" s="15">
        <f>L99+L100</f>
        <v/>
      </c>
      <c r="M101" s="15">
        <f>M99+M100</f>
        <v/>
      </c>
      <c r="N101" s="15">
        <f>N99+N100</f>
        <v/>
      </c>
    </row>
    <row r="102">
      <c r="A102" s="4" t="inlineStr">
        <is>
          <t>Ending Stocks</t>
        </is>
      </c>
      <c r="B102" s="12" t="inlineStr">
        <is>
          <t>MMT</t>
        </is>
      </c>
      <c r="C102" s="16" t="n">
        <v>0.272</v>
      </c>
      <c r="D102" s="16" t="n">
        <v>0.245</v>
      </c>
      <c r="E102" s="16" t="n">
        <v>0.159</v>
      </c>
      <c r="F102" s="16" t="n">
        <v>0.327</v>
      </c>
      <c r="G102" s="16" t="n">
        <v>0.172</v>
      </c>
      <c r="H102" s="16" t="n">
        <v>0.053</v>
      </c>
      <c r="I102" s="16" t="n">
        <v>0.286</v>
      </c>
      <c r="J102" s="16" t="n">
        <v>0.346</v>
      </c>
      <c r="K102" s="16" t="n">
        <v>0.237</v>
      </c>
      <c r="L102" s="16" t="n">
        <v>0.195</v>
      </c>
      <c r="M102" s="16" t="n">
        <v>0.318</v>
      </c>
      <c r="N102" s="16" t="n">
        <v>0.325</v>
      </c>
    </row>
    <row r="103">
      <c r="A103" s="4" t="inlineStr">
        <is>
          <t>Stocks-to-Use Ratio (%)</t>
        </is>
      </c>
      <c r="B103" s="12" t="inlineStr">
        <is>
          <t>Formula: End/TotUse</t>
        </is>
      </c>
      <c r="C103" s="17">
        <f>IF(C101&gt;0, C102/C101, 0)</f>
        <v/>
      </c>
      <c r="D103" s="17">
        <f>IF(D101&gt;0, D102/D101, 0)</f>
        <v/>
      </c>
      <c r="E103" s="17">
        <f>IF(E101&gt;0, E102/E101, 0)</f>
        <v/>
      </c>
      <c r="F103" s="17">
        <f>IF(F101&gt;0, F102/F101, 0)</f>
        <v/>
      </c>
      <c r="G103" s="17">
        <f>IF(G101&gt;0, G102/G101, 0)</f>
        <v/>
      </c>
      <c r="H103" s="17">
        <f>IF(H101&gt;0, H102/H101, 0)</f>
        <v/>
      </c>
      <c r="I103" s="17">
        <f>IF(I101&gt;0, I102/I101, 0)</f>
        <v/>
      </c>
      <c r="J103" s="17">
        <f>IF(J101&gt;0, J102/J101, 0)</f>
        <v/>
      </c>
      <c r="K103" s="17">
        <f>IF(K101&gt;0, K102/K101, 0)</f>
        <v/>
      </c>
      <c r="L103" s="17">
        <f>IF(L101&gt;0, L102/L101, 0)</f>
        <v/>
      </c>
      <c r="M103" s="17">
        <f>IF(M101&gt;0, M102/M101, 0)</f>
        <v/>
      </c>
      <c r="N103" s="17">
        <f>IF(N101&gt;0, N102/N101, 0)</f>
        <v/>
      </c>
    </row>
    <row r="106">
      <c r="A106" s="10" t="inlineStr">
        <is>
          <t>RU — SUNFLOWER MEAL BALANCE SHEET (MMT)</t>
        </is>
      </c>
      <c r="B106" s="11" t="inlineStr">
        <is>
          <t>Unit / Formula</t>
        </is>
      </c>
      <c r="C106" s="11" t="inlineStr">
        <is>
          <t>2015/16</t>
        </is>
      </c>
      <c r="D106" s="11" t="inlineStr">
        <is>
          <t>2016/17</t>
        </is>
      </c>
      <c r="E106" s="11" t="inlineStr">
        <is>
          <t>2017/18</t>
        </is>
      </c>
      <c r="F106" s="11" t="inlineStr">
        <is>
          <t>2018/19</t>
        </is>
      </c>
      <c r="G106" s="11" t="inlineStr">
        <is>
          <t>2019/20</t>
        </is>
      </c>
      <c r="H106" s="11" t="inlineStr">
        <is>
          <t>2020/21</t>
        </is>
      </c>
      <c r="I106" s="11" t="inlineStr">
        <is>
          <t>2021/22</t>
        </is>
      </c>
      <c r="J106" s="11" t="inlineStr">
        <is>
          <t>2022/23</t>
        </is>
      </c>
      <c r="K106" s="11" t="inlineStr">
        <is>
          <t>2023/24</t>
        </is>
      </c>
      <c r="L106" s="11" t="inlineStr">
        <is>
          <t>2024/25</t>
        </is>
      </c>
      <c r="M106" s="11" t="inlineStr">
        <is>
          <t>2025/26</t>
        </is>
      </c>
      <c r="N106" s="11" t="inlineStr">
        <is>
          <t>2026/27</t>
        </is>
      </c>
    </row>
    <row r="107">
      <c r="A107" s="5" t="inlineStr">
        <is>
          <t>Area Harvested</t>
        </is>
      </c>
      <c r="B107" s="12" t="inlineStr">
        <is>
          <t>Million Ha (Mha)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</row>
    <row r="108">
      <c r="A108" s="5" t="inlineStr">
        <is>
          <t>Yield</t>
        </is>
      </c>
      <c r="B108" s="12" t="inlineStr">
        <is>
          <t>MT / Ha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</row>
    <row r="109">
      <c r="A109" s="4" t="inlineStr">
        <is>
          <t>Beginning Stocks</t>
        </is>
      </c>
      <c r="B109" s="12" t="inlineStr">
        <is>
          <t>MMT</t>
        </is>
      </c>
      <c r="C109" s="14" t="n">
        <v>0.269</v>
      </c>
      <c r="D109" s="14" t="n">
        <v>0.345</v>
      </c>
      <c r="E109" s="14" t="n">
        <v>0.4</v>
      </c>
      <c r="F109" s="14" t="n">
        <v>0.404</v>
      </c>
      <c r="G109" s="14" t="n">
        <v>0.399</v>
      </c>
      <c r="H109" s="14" t="n">
        <v>0.408</v>
      </c>
      <c r="I109" s="14" t="n">
        <v>0.082</v>
      </c>
      <c r="J109" s="14" t="n">
        <v>0.089</v>
      </c>
      <c r="K109" s="14" t="n">
        <v>0.397</v>
      </c>
      <c r="L109" s="14" t="n">
        <v>0.407</v>
      </c>
      <c r="M109" s="14" t="n">
        <v>0.41</v>
      </c>
      <c r="N109" s="14" t="n">
        <v>0.477</v>
      </c>
    </row>
    <row r="110">
      <c r="A110" s="5" t="inlineStr">
        <is>
          <t>Production (Harvest)</t>
        </is>
      </c>
      <c r="B110" s="12" t="inlineStr">
        <is>
          <t>MMT</t>
        </is>
      </c>
      <c r="C110" s="14" t="n">
        <v>3.53</v>
      </c>
      <c r="D110" s="14" t="n">
        <v>4.146</v>
      </c>
      <c r="E110" s="14" t="n">
        <v>4.167</v>
      </c>
      <c r="F110" s="14" t="n">
        <v>4.911</v>
      </c>
      <c r="G110" s="14" t="n">
        <v>5.672</v>
      </c>
      <c r="H110" s="14" t="n">
        <v>5.096</v>
      </c>
      <c r="I110" s="14" t="n">
        <v>5.754</v>
      </c>
      <c r="J110" s="14" t="n">
        <v>6.453</v>
      </c>
      <c r="K110" s="14" t="n">
        <v>6.78</v>
      </c>
      <c r="L110" s="14" t="n">
        <v>6.698</v>
      </c>
      <c r="M110" s="14" t="n">
        <v>6.862</v>
      </c>
      <c r="N110" s="14" t="n">
        <v>7.766</v>
      </c>
    </row>
    <row r="111">
      <c r="A111" s="5" t="inlineStr">
        <is>
          <t>Imports</t>
        </is>
      </c>
      <c r="B111" s="12" t="inlineStr">
        <is>
          <t>MMT</t>
        </is>
      </c>
      <c r="C111" s="14" t="n">
        <v>0.007</v>
      </c>
      <c r="D111" s="14" t="n">
        <v>0.011</v>
      </c>
      <c r="E111" s="14" t="n">
        <v>0.04</v>
      </c>
      <c r="F111" s="14" t="n">
        <v>0.01</v>
      </c>
      <c r="G111" s="14" t="n">
        <v>0.02</v>
      </c>
      <c r="H111" s="14" t="n">
        <v>0.022</v>
      </c>
      <c r="I111" s="14" t="n">
        <v>0.003</v>
      </c>
      <c r="J111" s="14" t="n">
        <v>0.005</v>
      </c>
      <c r="K111" s="14" t="n">
        <v>0.005</v>
      </c>
      <c r="L111" s="14" t="n">
        <v>0.005</v>
      </c>
      <c r="M111" s="14" t="n">
        <v>0.005</v>
      </c>
      <c r="N111" s="14" t="n">
        <v>0.005</v>
      </c>
    </row>
    <row r="112">
      <c r="A112" s="4">
        <f> Total Supply</f>
        <v/>
      </c>
      <c r="B112" s="12" t="inlineStr">
        <is>
          <t>Formula: Beg+Prod+Imp</t>
        </is>
      </c>
      <c r="C112" s="15">
        <f>SUM(C109:C111)</f>
        <v/>
      </c>
      <c r="D112" s="15">
        <f>SUM(D109:D111)</f>
        <v/>
      </c>
      <c r="E112" s="15">
        <f>SUM(E109:E111)</f>
        <v/>
      </c>
      <c r="F112" s="15">
        <f>SUM(F109:F111)</f>
        <v/>
      </c>
      <c r="G112" s="15">
        <f>SUM(G109:G111)</f>
        <v/>
      </c>
      <c r="H112" s="15">
        <f>SUM(H109:H111)</f>
        <v/>
      </c>
      <c r="I112" s="15">
        <f>SUM(I109:I111)</f>
        <v/>
      </c>
      <c r="J112" s="15">
        <f>SUM(J109:J111)</f>
        <v/>
      </c>
      <c r="K112" s="15">
        <f>SUM(K109:K111)</f>
        <v/>
      </c>
      <c r="L112" s="15">
        <f>SUM(L109:L111)</f>
        <v/>
      </c>
      <c r="M112" s="15">
        <f>SUM(M109:M111)</f>
        <v/>
      </c>
      <c r="N112" s="15">
        <f>SUM(N109:N111)</f>
        <v/>
      </c>
    </row>
    <row r="113">
      <c r="A113" s="5" t="inlineStr">
        <is>
          <t>Crush (Oilseeds)</t>
        </is>
      </c>
      <c r="B113" s="12" t="inlineStr">
        <is>
          <t>MMT</t>
        </is>
      </c>
      <c r="C113" s="14" t="n">
        <v>8.6</v>
      </c>
      <c r="D113" s="14" t="n">
        <v>10.1</v>
      </c>
      <c r="E113" s="14" t="n">
        <v>10.15</v>
      </c>
      <c r="F113" s="14" t="n">
        <v>11.95</v>
      </c>
      <c r="G113" s="14" t="n">
        <v>13.8</v>
      </c>
      <c r="H113" s="14" t="n">
        <v>12.4</v>
      </c>
      <c r="I113" s="14" t="n">
        <v>14</v>
      </c>
      <c r="J113" s="14" t="n">
        <v>15.7</v>
      </c>
      <c r="K113" s="14" t="n">
        <v>16.5</v>
      </c>
      <c r="L113" s="14" t="n">
        <v>16.3</v>
      </c>
      <c r="M113" s="14" t="n">
        <v>16.7</v>
      </c>
      <c r="N113" s="14" t="n">
        <v>18.9</v>
      </c>
    </row>
    <row r="114">
      <c r="A114" s="5" t="inlineStr">
        <is>
          <t>Feed &amp; Residual</t>
        </is>
      </c>
      <c r="B114" s="12" t="inlineStr">
        <is>
          <t>MMT</t>
        </is>
      </c>
      <c r="C114" s="14" t="n">
        <v>2.25</v>
      </c>
      <c r="D114" s="14" t="n">
        <v>2.8</v>
      </c>
      <c r="E114" s="14" t="n">
        <v>3</v>
      </c>
      <c r="F114" s="14" t="n">
        <v>3.35</v>
      </c>
      <c r="G114" s="14" t="n">
        <v>3.65</v>
      </c>
      <c r="H114" s="14" t="n">
        <v>3.7</v>
      </c>
      <c r="I114" s="14" t="n">
        <v>3.75</v>
      </c>
      <c r="J114" s="14" t="n">
        <v>3.9</v>
      </c>
      <c r="K114" s="14" t="n">
        <v>4.125</v>
      </c>
      <c r="L114" s="14" t="n">
        <v>4.3</v>
      </c>
      <c r="M114" s="14" t="n">
        <v>4.5</v>
      </c>
      <c r="N114" s="14" t="n">
        <v>4.85</v>
      </c>
    </row>
    <row r="115">
      <c r="A115" s="5" t="inlineStr">
        <is>
          <t>FSI / Food &amp; Industrial</t>
        </is>
      </c>
      <c r="B115" s="12" t="inlineStr">
        <is>
          <t>MMT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</row>
    <row r="116">
      <c r="A116" s="5" t="inlineStr">
        <is>
          <t>Total Domestic Consumption</t>
        </is>
      </c>
      <c r="B116" s="12" t="inlineStr">
        <is>
          <t>MMT</t>
        </is>
      </c>
      <c r="C116" s="14" t="n">
        <v>2.25</v>
      </c>
      <c r="D116" s="14" t="n">
        <v>2.8</v>
      </c>
      <c r="E116" s="14" t="n">
        <v>3</v>
      </c>
      <c r="F116" s="14" t="n">
        <v>3.35</v>
      </c>
      <c r="G116" s="14" t="n">
        <v>3.65</v>
      </c>
      <c r="H116" s="14" t="n">
        <v>3.7</v>
      </c>
      <c r="I116" s="14" t="n">
        <v>3.75</v>
      </c>
      <c r="J116" s="14" t="n">
        <v>3.9</v>
      </c>
      <c r="K116" s="14" t="n">
        <v>4.125</v>
      </c>
      <c r="L116" s="14" t="n">
        <v>4.3</v>
      </c>
      <c r="M116" s="14" t="n">
        <v>4.5</v>
      </c>
      <c r="N116" s="14" t="n">
        <v>4.85</v>
      </c>
    </row>
    <row r="117">
      <c r="A117" s="5" t="inlineStr">
        <is>
          <t>Exports (MY)</t>
        </is>
      </c>
      <c r="B117" s="12" t="inlineStr">
        <is>
          <t>MMT</t>
        </is>
      </c>
      <c r="C117" s="14" t="n">
        <v>1.211</v>
      </c>
      <c r="D117" s="14" t="n">
        <v>1.302</v>
      </c>
      <c r="E117" s="14" t="n">
        <v>1.203</v>
      </c>
      <c r="F117" s="14" t="n">
        <v>1.576</v>
      </c>
      <c r="G117" s="14" t="n">
        <v>2.033</v>
      </c>
      <c r="H117" s="14" t="n">
        <v>1.744</v>
      </c>
      <c r="I117" s="14" t="n">
        <v>2</v>
      </c>
      <c r="J117" s="14" t="n">
        <v>2.25</v>
      </c>
      <c r="K117" s="14" t="n">
        <v>2.65</v>
      </c>
      <c r="L117" s="14" t="n">
        <v>2.4</v>
      </c>
      <c r="M117" s="14" t="n">
        <v>2.3</v>
      </c>
      <c r="N117" s="14" t="n">
        <v>2.8</v>
      </c>
    </row>
    <row r="118">
      <c r="A118" s="4">
        <f> Total Disappearance</f>
        <v/>
      </c>
      <c r="B118" s="12" t="inlineStr">
        <is>
          <t>Formula: Dom+Exp</t>
        </is>
      </c>
      <c r="C118" s="15">
        <f>C116+C117</f>
        <v/>
      </c>
      <c r="D118" s="15">
        <f>D116+D117</f>
        <v/>
      </c>
      <c r="E118" s="15">
        <f>E116+E117</f>
        <v/>
      </c>
      <c r="F118" s="15">
        <f>F116+F117</f>
        <v/>
      </c>
      <c r="G118" s="15">
        <f>G116+G117</f>
        <v/>
      </c>
      <c r="H118" s="15">
        <f>H116+H117</f>
        <v/>
      </c>
      <c r="I118" s="15">
        <f>I116+I117</f>
        <v/>
      </c>
      <c r="J118" s="15">
        <f>J116+J117</f>
        <v/>
      </c>
      <c r="K118" s="15">
        <f>K116+K117</f>
        <v/>
      </c>
      <c r="L118" s="15">
        <f>L116+L117</f>
        <v/>
      </c>
      <c r="M118" s="15">
        <f>M116+M117</f>
        <v/>
      </c>
      <c r="N118" s="15">
        <f>N116+N117</f>
        <v/>
      </c>
    </row>
    <row r="119">
      <c r="A119" s="4" t="inlineStr">
        <is>
          <t>Ending Stocks</t>
        </is>
      </c>
      <c r="B119" s="12" t="inlineStr">
        <is>
          <t>MMT</t>
        </is>
      </c>
      <c r="C119" s="16" t="n">
        <v>0.345</v>
      </c>
      <c r="D119" s="16" t="n">
        <v>0.4</v>
      </c>
      <c r="E119" s="16" t="n">
        <v>0.404</v>
      </c>
      <c r="F119" s="16" t="n">
        <v>0.399</v>
      </c>
      <c r="G119" s="16" t="n">
        <v>0.408</v>
      </c>
      <c r="H119" s="16" t="n">
        <v>0.082</v>
      </c>
      <c r="I119" s="16" t="n">
        <v>0.089</v>
      </c>
      <c r="J119" s="16" t="n">
        <v>0.397</v>
      </c>
      <c r="K119" s="16" t="n">
        <v>0.407</v>
      </c>
      <c r="L119" s="16" t="n">
        <v>0.41</v>
      </c>
      <c r="M119" s="16" t="n">
        <v>0.477</v>
      </c>
      <c r="N119" s="16" t="n">
        <v>0.598</v>
      </c>
    </row>
    <row r="120">
      <c r="A120" s="4" t="inlineStr">
        <is>
          <t>Stocks-to-Use Ratio (%)</t>
        </is>
      </c>
      <c r="B120" s="12" t="inlineStr">
        <is>
          <t>Formula: End/TotUse</t>
        </is>
      </c>
      <c r="C120" s="17">
        <f>IF(C118&gt;0, C119/C118, 0)</f>
        <v/>
      </c>
      <c r="D120" s="17">
        <f>IF(D118&gt;0, D119/D118, 0)</f>
        <v/>
      </c>
      <c r="E120" s="17">
        <f>IF(E118&gt;0, E119/E118, 0)</f>
        <v/>
      </c>
      <c r="F120" s="17">
        <f>IF(F118&gt;0, F119/F118, 0)</f>
        <v/>
      </c>
      <c r="G120" s="17">
        <f>IF(G118&gt;0, G119/G118, 0)</f>
        <v/>
      </c>
      <c r="H120" s="17">
        <f>IF(H118&gt;0, H119/H118, 0)</f>
        <v/>
      </c>
      <c r="I120" s="17">
        <f>IF(I118&gt;0, I119/I118, 0)</f>
        <v/>
      </c>
      <c r="J120" s="17">
        <f>IF(J118&gt;0, J119/J118, 0)</f>
        <v/>
      </c>
      <c r="K120" s="17">
        <f>IF(K118&gt;0, K119/K118, 0)</f>
        <v/>
      </c>
      <c r="L120" s="17">
        <f>IF(L118&gt;0, L119/L118, 0)</f>
        <v/>
      </c>
      <c r="M120" s="17">
        <f>IF(M118&gt;0, M119/M118, 0)</f>
        <v/>
      </c>
      <c r="N120" s="17">
        <f>IF(N118&gt;0, N119/N118, 0)</f>
        <v/>
      </c>
    </row>
    <row r="123">
      <c r="A123" s="10" t="inlineStr">
        <is>
          <t>RU — RAPESEED BALANCE SHEET (MMT)</t>
        </is>
      </c>
      <c r="B123" s="11" t="inlineStr">
        <is>
          <t>Unit / Formula</t>
        </is>
      </c>
      <c r="C123" s="11" t="inlineStr">
        <is>
          <t>2015/16</t>
        </is>
      </c>
      <c r="D123" s="11" t="inlineStr">
        <is>
          <t>2016/17</t>
        </is>
      </c>
      <c r="E123" s="11" t="inlineStr">
        <is>
          <t>2017/18</t>
        </is>
      </c>
      <c r="F123" s="11" t="inlineStr">
        <is>
          <t>2018/19</t>
        </is>
      </c>
      <c r="G123" s="11" t="inlineStr">
        <is>
          <t>2019/20</t>
        </is>
      </c>
      <c r="H123" s="11" t="inlineStr">
        <is>
          <t>2020/21</t>
        </is>
      </c>
      <c r="I123" s="11" t="inlineStr">
        <is>
          <t>2021/22</t>
        </is>
      </c>
      <c r="J123" s="11" t="inlineStr">
        <is>
          <t>2022/23</t>
        </is>
      </c>
      <c r="K123" s="11" t="inlineStr">
        <is>
          <t>2023/24</t>
        </is>
      </c>
      <c r="L123" s="11" t="inlineStr">
        <is>
          <t>2024/25</t>
        </is>
      </c>
      <c r="M123" s="11" t="inlineStr">
        <is>
          <t>2025/26</t>
        </is>
      </c>
      <c r="N123" s="11" t="inlineStr">
        <is>
          <t>2026/27</t>
        </is>
      </c>
    </row>
    <row r="124">
      <c r="A124" s="5" t="inlineStr">
        <is>
          <t>Area Harvested</t>
        </is>
      </c>
      <c r="B124" s="12" t="inlineStr">
        <is>
          <t>Million Ha (Mha)</t>
        </is>
      </c>
      <c r="C124" s="13" t="n">
        <v>0.897</v>
      </c>
      <c r="D124" s="13" t="n">
        <v>0.907</v>
      </c>
      <c r="E124" s="13" t="n">
        <v>0.947</v>
      </c>
      <c r="F124" s="13" t="n">
        <v>1.495</v>
      </c>
      <c r="G124" s="13" t="n">
        <v>1.417</v>
      </c>
      <c r="H124" s="13" t="n">
        <v>1.45</v>
      </c>
      <c r="I124" s="13" t="n">
        <v>1.623</v>
      </c>
      <c r="J124" s="13" t="n">
        <v>2.27</v>
      </c>
      <c r="K124" s="13" t="n">
        <v>2.05</v>
      </c>
      <c r="L124" s="13" t="n">
        <v>2.65</v>
      </c>
      <c r="M124" s="13" t="n">
        <v>2.9</v>
      </c>
      <c r="N124" s="13" t="n">
        <v>3.8</v>
      </c>
    </row>
    <row r="125">
      <c r="A125" s="5" t="inlineStr">
        <is>
          <t>Yield</t>
        </is>
      </c>
      <c r="B125" s="12" t="inlineStr">
        <is>
          <t>MT / Ha</t>
        </is>
      </c>
      <c r="C125" s="13" t="n">
        <v>1.12</v>
      </c>
      <c r="D125" s="13" t="n">
        <v>1.1</v>
      </c>
      <c r="E125" s="13" t="n">
        <v>1.58</v>
      </c>
      <c r="F125" s="13" t="n">
        <v>1.33</v>
      </c>
      <c r="G125" s="13" t="n">
        <v>1.44</v>
      </c>
      <c r="H125" s="13" t="n">
        <v>1.77</v>
      </c>
      <c r="I125" s="13" t="n">
        <v>1.71</v>
      </c>
      <c r="J125" s="13" t="n">
        <v>1.89</v>
      </c>
      <c r="K125" s="13" t="n">
        <v>2.05</v>
      </c>
      <c r="L125" s="13" t="n">
        <v>1.75</v>
      </c>
      <c r="M125" s="13" t="n">
        <v>1.9</v>
      </c>
      <c r="N125" s="13" t="n">
        <v>1.84</v>
      </c>
    </row>
    <row r="126">
      <c r="A126" s="4" t="inlineStr">
        <is>
          <t>Beginning Stocks</t>
        </is>
      </c>
      <c r="B126" s="12" t="inlineStr">
        <is>
          <t>MMT</t>
        </is>
      </c>
      <c r="C126" s="14" t="n">
        <v>0.057</v>
      </c>
      <c r="D126" s="14" t="n">
        <v>0.051</v>
      </c>
      <c r="E126" s="14" t="n">
        <v>0.132</v>
      </c>
      <c r="F126" s="14" t="n">
        <v>0.063</v>
      </c>
      <c r="G126" s="14" t="n">
        <v>0.056</v>
      </c>
      <c r="H126" s="14" t="n">
        <v>0.038</v>
      </c>
      <c r="I126" s="14" t="n">
        <v>0.033</v>
      </c>
      <c r="J126" s="14" t="n">
        <v>0.053</v>
      </c>
      <c r="K126" s="14" t="n">
        <v>0.098</v>
      </c>
      <c r="L126" s="14" t="n">
        <v>0.08799999999999999</v>
      </c>
      <c r="M126" s="14" t="n">
        <v>0.098</v>
      </c>
      <c r="N126" s="14" t="n">
        <v>0.248</v>
      </c>
    </row>
    <row r="127">
      <c r="A127" s="5" t="inlineStr">
        <is>
          <t>Production (Harvest)</t>
        </is>
      </c>
      <c r="B127" s="12" t="inlineStr">
        <is>
          <t>MMT</t>
        </is>
      </c>
      <c r="C127" s="14" t="n">
        <v>1.001</v>
      </c>
      <c r="D127" s="14" t="n">
        <v>0.997</v>
      </c>
      <c r="E127" s="14" t="n">
        <v>1.497</v>
      </c>
      <c r="F127" s="14" t="n">
        <v>1.989</v>
      </c>
      <c r="G127" s="14" t="n">
        <v>2.04</v>
      </c>
      <c r="H127" s="14" t="n">
        <v>2.567</v>
      </c>
      <c r="I127" s="14" t="n">
        <v>2.775</v>
      </c>
      <c r="J127" s="14" t="n">
        <v>4.3</v>
      </c>
      <c r="K127" s="14" t="n">
        <v>4.2</v>
      </c>
      <c r="L127" s="14" t="n">
        <v>4.65</v>
      </c>
      <c r="M127" s="14" t="n">
        <v>5.5</v>
      </c>
      <c r="N127" s="14" t="n">
        <v>7</v>
      </c>
    </row>
    <row r="128">
      <c r="A128" s="5" t="inlineStr">
        <is>
          <t>Imports</t>
        </is>
      </c>
      <c r="B128" s="12" t="inlineStr">
        <is>
          <t>MMT</t>
        </is>
      </c>
      <c r="C128" s="14" t="n">
        <v>0.04</v>
      </c>
      <c r="D128" s="14" t="n">
        <v>0.082</v>
      </c>
      <c r="E128" s="14" t="n">
        <v>0.032</v>
      </c>
      <c r="F128" s="14" t="n">
        <v>0.05</v>
      </c>
      <c r="G128" s="14" t="n">
        <v>0.047</v>
      </c>
      <c r="H128" s="14" t="n">
        <v>0.049</v>
      </c>
      <c r="I128" s="14" t="n">
        <v>0.045</v>
      </c>
      <c r="J128" s="14" t="n">
        <v>0.025</v>
      </c>
      <c r="K128" s="14" t="n">
        <v>0.02</v>
      </c>
      <c r="L128" s="14" t="n">
        <v>0.04</v>
      </c>
      <c r="M128" s="14" t="n">
        <v>0.075</v>
      </c>
      <c r="N128" s="14" t="n">
        <v>0.04</v>
      </c>
    </row>
    <row r="129">
      <c r="A129" s="4">
        <f> Total Supply</f>
        <v/>
      </c>
      <c r="B129" s="12" t="inlineStr">
        <is>
          <t>Formula: Beg+Prod+Imp</t>
        </is>
      </c>
      <c r="C129" s="15">
        <f>SUM(C126:C128)</f>
        <v/>
      </c>
      <c r="D129" s="15">
        <f>SUM(D126:D128)</f>
        <v/>
      </c>
      <c r="E129" s="15">
        <f>SUM(E126:E128)</f>
        <v/>
      </c>
      <c r="F129" s="15">
        <f>SUM(F126:F128)</f>
        <v/>
      </c>
      <c r="G129" s="15">
        <f>SUM(G126:G128)</f>
        <v/>
      </c>
      <c r="H129" s="15">
        <f>SUM(H126:H128)</f>
        <v/>
      </c>
      <c r="I129" s="15">
        <f>SUM(I126:I128)</f>
        <v/>
      </c>
      <c r="J129" s="15">
        <f>SUM(J126:J128)</f>
        <v/>
      </c>
      <c r="K129" s="15">
        <f>SUM(K126:K128)</f>
        <v/>
      </c>
      <c r="L129" s="15">
        <f>SUM(L126:L128)</f>
        <v/>
      </c>
      <c r="M129" s="15">
        <f>SUM(M126:M128)</f>
        <v/>
      </c>
      <c r="N129" s="15">
        <f>SUM(N126:N128)</f>
        <v/>
      </c>
    </row>
    <row r="130">
      <c r="A130" s="5" t="inlineStr">
        <is>
          <t>Crush (Oilseeds)</t>
        </is>
      </c>
      <c r="B130" s="12" t="inlineStr">
        <is>
          <t>MMT</t>
        </is>
      </c>
      <c r="C130" s="14" t="n">
        <v>0.99</v>
      </c>
      <c r="D130" s="14" t="n">
        <v>0.9</v>
      </c>
      <c r="E130" s="14" t="n">
        <v>1.2</v>
      </c>
      <c r="F130" s="14" t="n">
        <v>1.4</v>
      </c>
      <c r="G130" s="14" t="n">
        <v>1.6</v>
      </c>
      <c r="H130" s="14" t="n">
        <v>1.85</v>
      </c>
      <c r="I130" s="14" t="n">
        <v>2.3</v>
      </c>
      <c r="J130" s="14" t="n">
        <v>3.4</v>
      </c>
      <c r="K130" s="14" t="n">
        <v>3.3</v>
      </c>
      <c r="L130" s="14" t="n">
        <v>3.7</v>
      </c>
      <c r="M130" s="14" t="n">
        <v>4.3</v>
      </c>
      <c r="N130" s="14" t="n">
        <v>4.9</v>
      </c>
    </row>
    <row r="131">
      <c r="A131" s="5" t="inlineStr">
        <is>
          <t>Feed &amp; Residual</t>
        </is>
      </c>
      <c r="B131" s="12" t="inlineStr">
        <is>
          <t>MMT</t>
        </is>
      </c>
      <c r="C131" s="14" t="n">
        <v>0.025</v>
      </c>
      <c r="D131" s="14" t="n">
        <v>0.025</v>
      </c>
      <c r="E131" s="14" t="n">
        <v>0.075</v>
      </c>
      <c r="F131" s="14" t="n">
        <v>0.08500000000000001</v>
      </c>
      <c r="G131" s="14" t="n">
        <v>0.08</v>
      </c>
      <c r="H131" s="14" t="n">
        <v>0.09</v>
      </c>
      <c r="I131" s="14" t="n">
        <v>0.1</v>
      </c>
      <c r="J131" s="14" t="n">
        <v>0.13</v>
      </c>
      <c r="K131" s="14" t="n">
        <v>0.13</v>
      </c>
      <c r="L131" s="14" t="n">
        <v>0.13</v>
      </c>
      <c r="M131" s="14" t="n">
        <v>0.225</v>
      </c>
      <c r="N131" s="14" t="n">
        <v>0.45</v>
      </c>
    </row>
    <row r="132">
      <c r="A132" s="5" t="inlineStr">
        <is>
          <t>FSI / Food &amp; Industrial</t>
        </is>
      </c>
      <c r="B132" s="12" t="inlineStr">
        <is>
          <t>MMT</t>
        </is>
      </c>
      <c r="C132" s="14" t="n">
        <v>0</v>
      </c>
      <c r="D132" s="14" t="n">
        <v>0</v>
      </c>
      <c r="E132" s="14" t="n">
        <v>0</v>
      </c>
      <c r="F132" s="14" t="n">
        <v>0</v>
      </c>
      <c r="G132" s="14" t="n">
        <v>0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</row>
    <row r="133">
      <c r="A133" s="5" t="inlineStr">
        <is>
          <t>Total Domestic Consumption</t>
        </is>
      </c>
      <c r="B133" s="12" t="inlineStr">
        <is>
          <t>MMT</t>
        </is>
      </c>
      <c r="C133" s="14" t="n">
        <v>1.015</v>
      </c>
      <c r="D133" s="14" t="n">
        <v>0.925</v>
      </c>
      <c r="E133" s="14" t="n">
        <v>1.275</v>
      </c>
      <c r="F133" s="14" t="n">
        <v>1.485</v>
      </c>
      <c r="G133" s="14" t="n">
        <v>1.68</v>
      </c>
      <c r="H133" s="14" t="n">
        <v>1.94</v>
      </c>
      <c r="I133" s="14" t="n">
        <v>2.4</v>
      </c>
      <c r="J133" s="14" t="n">
        <v>3.53</v>
      </c>
      <c r="K133" s="14" t="n">
        <v>3.43</v>
      </c>
      <c r="L133" s="14" t="n">
        <v>3.83</v>
      </c>
      <c r="M133" s="14" t="n">
        <v>4.525</v>
      </c>
      <c r="N133" s="14" t="n">
        <v>5.35</v>
      </c>
    </row>
    <row r="134">
      <c r="A134" s="5" t="inlineStr">
        <is>
          <t>Exports (MY)</t>
        </is>
      </c>
      <c r="B134" s="12" t="inlineStr">
        <is>
          <t>MMT</t>
        </is>
      </c>
      <c r="C134" s="14" t="n">
        <v>0.032</v>
      </c>
      <c r="D134" s="14" t="n">
        <v>0.073</v>
      </c>
      <c r="E134" s="14" t="n">
        <v>0.323</v>
      </c>
      <c r="F134" s="14" t="n">
        <v>0.5610000000000001</v>
      </c>
      <c r="G134" s="14" t="n">
        <v>0.425</v>
      </c>
      <c r="H134" s="14" t="n">
        <v>0.681</v>
      </c>
      <c r="I134" s="14" t="n">
        <v>0.4</v>
      </c>
      <c r="J134" s="14" t="n">
        <v>0.75</v>
      </c>
      <c r="K134" s="14" t="n">
        <v>0.8</v>
      </c>
      <c r="L134" s="14" t="n">
        <v>0.85</v>
      </c>
      <c r="M134" s="14" t="n">
        <v>0.9</v>
      </c>
      <c r="N134" s="14" t="n">
        <v>1.45</v>
      </c>
    </row>
    <row r="135">
      <c r="A135" s="4">
        <f> Total Disappearance</f>
        <v/>
      </c>
      <c r="B135" s="12" t="inlineStr">
        <is>
          <t>Formula: Dom+Exp</t>
        </is>
      </c>
      <c r="C135" s="15">
        <f>C133+C134</f>
        <v/>
      </c>
      <c r="D135" s="15">
        <f>D133+D134</f>
        <v/>
      </c>
      <c r="E135" s="15">
        <f>E133+E134</f>
        <v/>
      </c>
      <c r="F135" s="15">
        <f>F133+F134</f>
        <v/>
      </c>
      <c r="G135" s="15">
        <f>G133+G134</f>
        <v/>
      </c>
      <c r="H135" s="15">
        <f>H133+H134</f>
        <v/>
      </c>
      <c r="I135" s="15">
        <f>I133+I134</f>
        <v/>
      </c>
      <c r="J135" s="15">
        <f>J133+J134</f>
        <v/>
      </c>
      <c r="K135" s="15">
        <f>K133+K134</f>
        <v/>
      </c>
      <c r="L135" s="15">
        <f>L133+L134</f>
        <v/>
      </c>
      <c r="M135" s="15">
        <f>M133+M134</f>
        <v/>
      </c>
      <c r="N135" s="15">
        <f>N133+N134</f>
        <v/>
      </c>
    </row>
    <row r="136">
      <c r="A136" s="4" t="inlineStr">
        <is>
          <t>Ending Stocks</t>
        </is>
      </c>
      <c r="B136" s="12" t="inlineStr">
        <is>
          <t>MMT</t>
        </is>
      </c>
      <c r="C136" s="16" t="n">
        <v>0.051</v>
      </c>
      <c r="D136" s="16" t="n">
        <v>0.132</v>
      </c>
      <c r="E136" s="16" t="n">
        <v>0.063</v>
      </c>
      <c r="F136" s="16" t="n">
        <v>0.056</v>
      </c>
      <c r="G136" s="16" t="n">
        <v>0.038</v>
      </c>
      <c r="H136" s="16" t="n">
        <v>0.033</v>
      </c>
      <c r="I136" s="16" t="n">
        <v>0.053</v>
      </c>
      <c r="J136" s="16" t="n">
        <v>0.098</v>
      </c>
      <c r="K136" s="16" t="n">
        <v>0.08799999999999999</v>
      </c>
      <c r="L136" s="16" t="n">
        <v>0.098</v>
      </c>
      <c r="M136" s="16" t="n">
        <v>0.248</v>
      </c>
      <c r="N136" s="16" t="n">
        <v>0.488</v>
      </c>
    </row>
    <row r="137">
      <c r="A137" s="4" t="inlineStr">
        <is>
          <t>Stocks-to-Use Ratio (%)</t>
        </is>
      </c>
      <c r="B137" s="12" t="inlineStr">
        <is>
          <t>Formula: End/TotUse</t>
        </is>
      </c>
      <c r="C137" s="17">
        <f>IF(C135&gt;0, C136/C135, 0)</f>
        <v/>
      </c>
      <c r="D137" s="17">
        <f>IF(D135&gt;0, D136/D135, 0)</f>
        <v/>
      </c>
      <c r="E137" s="17">
        <f>IF(E135&gt;0, E136/E135, 0)</f>
        <v/>
      </c>
      <c r="F137" s="17">
        <f>IF(F135&gt;0, F136/F135, 0)</f>
        <v/>
      </c>
      <c r="G137" s="17">
        <f>IF(G135&gt;0, G136/G135, 0)</f>
        <v/>
      </c>
      <c r="H137" s="17">
        <f>IF(H135&gt;0, H136/H135, 0)</f>
        <v/>
      </c>
      <c r="I137" s="17">
        <f>IF(I135&gt;0, I136/I135, 0)</f>
        <v/>
      </c>
      <c r="J137" s="17">
        <f>IF(J135&gt;0, J136/J135, 0)</f>
        <v/>
      </c>
      <c r="K137" s="17">
        <f>IF(K135&gt;0, K136/K135, 0)</f>
        <v/>
      </c>
      <c r="L137" s="17">
        <f>IF(L135&gt;0, L136/L135, 0)</f>
        <v/>
      </c>
      <c r="M137" s="17">
        <f>IF(M135&gt;0, M136/M135, 0)</f>
        <v/>
      </c>
      <c r="N137" s="17">
        <f>IF(N135&gt;0, N136/N135, 0)</f>
        <v/>
      </c>
    </row>
    <row r="140">
      <c r="A140" s="10" t="inlineStr">
        <is>
          <t>RU — SOYBEANS BALANCE SHEET (MMT)</t>
        </is>
      </c>
      <c r="B140" s="11" t="inlineStr">
        <is>
          <t>Unit / Formula</t>
        </is>
      </c>
      <c r="C140" s="11" t="inlineStr">
        <is>
          <t>2015/16</t>
        </is>
      </c>
      <c r="D140" s="11" t="inlineStr">
        <is>
          <t>2016/17</t>
        </is>
      </c>
      <c r="E140" s="11" t="inlineStr">
        <is>
          <t>2017/18</t>
        </is>
      </c>
      <c r="F140" s="11" t="inlineStr">
        <is>
          <t>2018/19</t>
        </is>
      </c>
      <c r="G140" s="11" t="inlineStr">
        <is>
          <t>2019/20</t>
        </is>
      </c>
      <c r="H140" s="11" t="inlineStr">
        <is>
          <t>2020/21</t>
        </is>
      </c>
      <c r="I140" s="11" t="inlineStr">
        <is>
          <t>2021/22</t>
        </is>
      </c>
      <c r="J140" s="11" t="inlineStr">
        <is>
          <t>2022/23</t>
        </is>
      </c>
      <c r="K140" s="11" t="inlineStr">
        <is>
          <t>2023/24</t>
        </is>
      </c>
      <c r="L140" s="11" t="inlineStr">
        <is>
          <t>2024/25</t>
        </is>
      </c>
      <c r="M140" s="11" t="inlineStr">
        <is>
          <t>2025/26</t>
        </is>
      </c>
      <c r="N140" s="11" t="inlineStr">
        <is>
          <t>2026/27</t>
        </is>
      </c>
    </row>
    <row r="141">
      <c r="A141" s="5" t="inlineStr">
        <is>
          <t>Area Harvested</t>
        </is>
      </c>
      <c r="B141" s="12" t="inlineStr">
        <is>
          <t>Million Ha (Mha)</t>
        </is>
      </c>
      <c r="C141" s="13" t="n">
        <v>2.082</v>
      </c>
      <c r="D141" s="13" t="n">
        <v>2.118</v>
      </c>
      <c r="E141" s="13" t="n">
        <v>2.568</v>
      </c>
      <c r="F141" s="13" t="n">
        <v>2.739</v>
      </c>
      <c r="G141" s="13" t="n">
        <v>2.776</v>
      </c>
      <c r="H141" s="13" t="n">
        <v>2.709</v>
      </c>
      <c r="I141" s="13" t="n">
        <v>2.993</v>
      </c>
      <c r="J141" s="13" t="n">
        <v>3.355</v>
      </c>
      <c r="K141" s="13" t="n">
        <v>3.5</v>
      </c>
      <c r="L141" s="13" t="n">
        <v>4.2</v>
      </c>
      <c r="M141" s="13" t="n">
        <v>4.5</v>
      </c>
      <c r="N141" s="13" t="n">
        <v>4</v>
      </c>
    </row>
    <row r="142">
      <c r="A142" s="5" t="inlineStr">
        <is>
          <t>Yield</t>
        </is>
      </c>
      <c r="B142" s="12" t="inlineStr">
        <is>
          <t>MT / Ha</t>
        </is>
      </c>
      <c r="C142" s="13" t="n">
        <v>1.3</v>
      </c>
      <c r="D142" s="13" t="n">
        <v>1.48</v>
      </c>
      <c r="E142" s="13" t="n">
        <v>1.41</v>
      </c>
      <c r="F142" s="13" t="n">
        <v>1.47</v>
      </c>
      <c r="G142" s="13" t="n">
        <v>1.57</v>
      </c>
      <c r="H142" s="13" t="n">
        <v>1.59</v>
      </c>
      <c r="I142" s="13" t="n">
        <v>1.59</v>
      </c>
      <c r="J142" s="13" t="n">
        <v>1.79</v>
      </c>
      <c r="K142" s="13" t="n">
        <v>1.94</v>
      </c>
      <c r="L142" s="13" t="n">
        <v>1.68</v>
      </c>
      <c r="M142" s="13" t="n">
        <v>2</v>
      </c>
      <c r="N142" s="13" t="n">
        <v>2</v>
      </c>
    </row>
    <row r="143">
      <c r="A143" s="4" t="inlineStr">
        <is>
          <t>Beginning Stocks</t>
        </is>
      </c>
      <c r="B143" s="12" t="inlineStr">
        <is>
          <t>MMT</t>
        </is>
      </c>
      <c r="C143" s="14" t="n">
        <v>0.108</v>
      </c>
      <c r="D143" s="14" t="n">
        <v>0.145</v>
      </c>
      <c r="E143" s="14" t="n">
        <v>0.195</v>
      </c>
      <c r="F143" s="14" t="n">
        <v>0.062</v>
      </c>
      <c r="G143" s="14" t="n">
        <v>0.204</v>
      </c>
      <c r="H143" s="14" t="n">
        <v>0.162</v>
      </c>
      <c r="I143" s="14" t="n">
        <v>0.106</v>
      </c>
      <c r="J143" s="14" t="n">
        <v>0.306</v>
      </c>
      <c r="K143" s="14" t="n">
        <v>0.411</v>
      </c>
      <c r="L143" s="14" t="n">
        <v>0.544</v>
      </c>
      <c r="M143" s="14" t="n">
        <v>0.614</v>
      </c>
      <c r="N143" s="14" t="n">
        <v>0.774</v>
      </c>
    </row>
    <row r="144">
      <c r="A144" s="5" t="inlineStr">
        <is>
          <t>Production (Harvest)</t>
        </is>
      </c>
      <c r="B144" s="12" t="inlineStr">
        <is>
          <t>MMT</t>
        </is>
      </c>
      <c r="C144" s="14" t="n">
        <v>2.707</v>
      </c>
      <c r="D144" s="14" t="n">
        <v>3.134</v>
      </c>
      <c r="E144" s="14" t="n">
        <v>3.621</v>
      </c>
      <c r="F144" s="14" t="n">
        <v>4.027</v>
      </c>
      <c r="G144" s="14" t="n">
        <v>4.359</v>
      </c>
      <c r="H144" s="14" t="n">
        <v>4.307</v>
      </c>
      <c r="I144" s="14" t="n">
        <v>4.76</v>
      </c>
      <c r="J144" s="14" t="n">
        <v>5.996</v>
      </c>
      <c r="K144" s="14" t="n">
        <v>6.8</v>
      </c>
      <c r="L144" s="14" t="n">
        <v>7.05</v>
      </c>
      <c r="M144" s="14" t="n">
        <v>9</v>
      </c>
      <c r="N144" s="14" t="n">
        <v>8</v>
      </c>
    </row>
    <row r="145">
      <c r="A145" s="5" t="inlineStr">
        <is>
          <t>Imports</t>
        </is>
      </c>
      <c r="B145" s="12" t="inlineStr">
        <is>
          <t>MMT</t>
        </is>
      </c>
      <c r="C145" s="14" t="n">
        <v>2.336</v>
      </c>
      <c r="D145" s="14" t="n">
        <v>2.221</v>
      </c>
      <c r="E145" s="14" t="n">
        <v>2.237</v>
      </c>
      <c r="F145" s="14" t="n">
        <v>2.162</v>
      </c>
      <c r="G145" s="14" t="n">
        <v>2.047</v>
      </c>
      <c r="H145" s="14" t="n">
        <v>2.042</v>
      </c>
      <c r="I145" s="14" t="n">
        <v>1.85</v>
      </c>
      <c r="J145" s="14" t="n">
        <v>1.644</v>
      </c>
      <c r="K145" s="14" t="n">
        <v>1.303</v>
      </c>
      <c r="L145" s="14" t="n">
        <v>1</v>
      </c>
      <c r="M145" s="14" t="n">
        <v>0.6</v>
      </c>
      <c r="N145" s="14" t="n">
        <v>0.4</v>
      </c>
    </row>
    <row r="146">
      <c r="A146" s="4">
        <f> Total Supply</f>
        <v/>
      </c>
      <c r="B146" s="12" t="inlineStr">
        <is>
          <t>Formula: Beg+Prod+Imp</t>
        </is>
      </c>
      <c r="C146" s="15">
        <f>SUM(C143:C145)</f>
        <v/>
      </c>
      <c r="D146" s="15">
        <f>SUM(D143:D145)</f>
        <v/>
      </c>
      <c r="E146" s="15">
        <f>SUM(E143:E145)</f>
        <v/>
      </c>
      <c r="F146" s="15">
        <f>SUM(F143:F145)</f>
        <v/>
      </c>
      <c r="G146" s="15">
        <f>SUM(G143:G145)</f>
        <v/>
      </c>
      <c r="H146" s="15">
        <f>SUM(H143:H145)</f>
        <v/>
      </c>
      <c r="I146" s="15">
        <f>SUM(I143:I145)</f>
        <v/>
      </c>
      <c r="J146" s="15">
        <f>SUM(J143:J145)</f>
        <v/>
      </c>
      <c r="K146" s="15">
        <f>SUM(K143:K145)</f>
        <v/>
      </c>
      <c r="L146" s="15">
        <f>SUM(L143:L145)</f>
        <v/>
      </c>
      <c r="M146" s="15">
        <f>SUM(M143:M145)</f>
        <v/>
      </c>
      <c r="N146" s="15">
        <f>SUM(N143:N145)</f>
        <v/>
      </c>
    </row>
    <row r="147">
      <c r="A147" s="5" t="inlineStr">
        <is>
          <t>Crush (Oilseeds)</t>
        </is>
      </c>
      <c r="B147" s="12" t="inlineStr">
        <is>
          <t>MMT</t>
        </is>
      </c>
      <c r="C147" s="14" t="n">
        <v>4</v>
      </c>
      <c r="D147" s="14" t="n">
        <v>4.4</v>
      </c>
      <c r="E147" s="14" t="n">
        <v>4.6</v>
      </c>
      <c r="F147" s="14" t="n">
        <v>4.65</v>
      </c>
      <c r="G147" s="14" t="n">
        <v>4.65</v>
      </c>
      <c r="H147" s="14" t="n">
        <v>4.5</v>
      </c>
      <c r="I147" s="14" t="n">
        <v>4.9</v>
      </c>
      <c r="J147" s="14" t="n">
        <v>5.4</v>
      </c>
      <c r="K147" s="14" t="n">
        <v>5.9</v>
      </c>
      <c r="L147" s="14" t="n">
        <v>6.225</v>
      </c>
      <c r="M147" s="14" t="n">
        <v>6.6</v>
      </c>
      <c r="N147" s="14" t="n">
        <v>6.35</v>
      </c>
    </row>
    <row r="148">
      <c r="A148" s="5" t="inlineStr">
        <is>
          <t>Feed &amp; Residual</t>
        </is>
      </c>
      <c r="B148" s="12" t="inlineStr">
        <is>
          <t>MMT</t>
        </is>
      </c>
      <c r="C148" s="14" t="n">
        <v>0.45</v>
      </c>
      <c r="D148" s="14" t="n">
        <v>0.43</v>
      </c>
      <c r="E148" s="14" t="n">
        <v>0.4</v>
      </c>
      <c r="F148" s="14" t="n">
        <v>0.5</v>
      </c>
      <c r="G148" s="14" t="n">
        <v>0.4</v>
      </c>
      <c r="H148" s="14" t="n">
        <v>0.45</v>
      </c>
      <c r="I148" s="14" t="n">
        <v>0.5</v>
      </c>
      <c r="J148" s="14" t="n">
        <v>0.525</v>
      </c>
      <c r="K148" s="14" t="n">
        <v>0.55</v>
      </c>
      <c r="L148" s="14" t="n">
        <v>0.6</v>
      </c>
      <c r="M148" s="14" t="n">
        <v>0.7</v>
      </c>
      <c r="N148" s="14" t="n">
        <v>0.6</v>
      </c>
    </row>
    <row r="149">
      <c r="A149" s="5" t="inlineStr">
        <is>
          <t>FSI / Food &amp; Industrial</t>
        </is>
      </c>
      <c r="B149" s="12" t="inlineStr">
        <is>
          <t>MMT</t>
        </is>
      </c>
      <c r="C149" s="14" t="n">
        <v>0.1</v>
      </c>
      <c r="D149" s="14" t="n">
        <v>0.1</v>
      </c>
      <c r="E149" s="14" t="n">
        <v>0.1</v>
      </c>
      <c r="F149" s="14" t="n">
        <v>0.1</v>
      </c>
      <c r="G149" s="14" t="n">
        <v>0.1</v>
      </c>
      <c r="H149" s="14" t="n">
        <v>0.1</v>
      </c>
      <c r="I149" s="14" t="n">
        <v>0.11</v>
      </c>
      <c r="J149" s="14" t="n">
        <v>0.11</v>
      </c>
      <c r="K149" s="14" t="n">
        <v>0.12</v>
      </c>
      <c r="L149" s="14" t="n">
        <v>0.13</v>
      </c>
      <c r="M149" s="14" t="n">
        <v>0.14</v>
      </c>
      <c r="N149" s="14" t="n">
        <v>0.14</v>
      </c>
    </row>
    <row r="150">
      <c r="A150" s="5" t="inlineStr">
        <is>
          <t>Total Domestic Consumption</t>
        </is>
      </c>
      <c r="B150" s="12" t="inlineStr">
        <is>
          <t>MMT</t>
        </is>
      </c>
      <c r="C150" s="14" t="n">
        <v>4.55</v>
      </c>
      <c r="D150" s="14" t="n">
        <v>4.93</v>
      </c>
      <c r="E150" s="14" t="n">
        <v>5.1</v>
      </c>
      <c r="F150" s="14" t="n">
        <v>5.25</v>
      </c>
      <c r="G150" s="14" t="n">
        <v>5.15</v>
      </c>
      <c r="H150" s="14" t="n">
        <v>5.05</v>
      </c>
      <c r="I150" s="14" t="n">
        <v>5.51</v>
      </c>
      <c r="J150" s="14" t="n">
        <v>6.035</v>
      </c>
      <c r="K150" s="14" t="n">
        <v>6.57</v>
      </c>
      <c r="L150" s="14" t="n">
        <v>6.955</v>
      </c>
      <c r="M150" s="14" t="n">
        <v>7.44</v>
      </c>
      <c r="N150" s="14" t="n">
        <v>7.09</v>
      </c>
    </row>
    <row r="151">
      <c r="A151" s="5" t="inlineStr">
        <is>
          <t>Exports (MY)</t>
        </is>
      </c>
      <c r="B151" s="12" t="inlineStr">
        <is>
          <t>MMT</t>
        </is>
      </c>
      <c r="C151" s="14" t="n">
        <v>0.456</v>
      </c>
      <c r="D151" s="14" t="n">
        <v>0.375</v>
      </c>
      <c r="E151" s="14" t="n">
        <v>0.891</v>
      </c>
      <c r="F151" s="14" t="n">
        <v>0.797</v>
      </c>
      <c r="G151" s="14" t="n">
        <v>1.298</v>
      </c>
      <c r="H151" s="14" t="n">
        <v>1.355</v>
      </c>
      <c r="I151" s="14" t="n">
        <v>0.9</v>
      </c>
      <c r="J151" s="14" t="n">
        <v>1.5</v>
      </c>
      <c r="K151" s="14" t="n">
        <v>1.4</v>
      </c>
      <c r="L151" s="14" t="n">
        <v>1.025</v>
      </c>
      <c r="M151" s="14" t="n">
        <v>2</v>
      </c>
      <c r="N151" s="14" t="n">
        <v>1.5</v>
      </c>
    </row>
    <row r="152">
      <c r="A152" s="4">
        <f> Total Disappearance</f>
        <v/>
      </c>
      <c r="B152" s="12" t="inlineStr">
        <is>
          <t>Formula: Dom+Exp</t>
        </is>
      </c>
      <c r="C152" s="15">
        <f>C150+C151</f>
        <v/>
      </c>
      <c r="D152" s="15">
        <f>D150+D151</f>
        <v/>
      </c>
      <c r="E152" s="15">
        <f>E150+E151</f>
        <v/>
      </c>
      <c r="F152" s="15">
        <f>F150+F151</f>
        <v/>
      </c>
      <c r="G152" s="15">
        <f>G150+G151</f>
        <v/>
      </c>
      <c r="H152" s="15">
        <f>H150+H151</f>
        <v/>
      </c>
      <c r="I152" s="15">
        <f>I150+I151</f>
        <v/>
      </c>
      <c r="J152" s="15">
        <f>J150+J151</f>
        <v/>
      </c>
      <c r="K152" s="15">
        <f>K150+K151</f>
        <v/>
      </c>
      <c r="L152" s="15">
        <f>L150+L151</f>
        <v/>
      </c>
      <c r="M152" s="15">
        <f>M150+M151</f>
        <v/>
      </c>
      <c r="N152" s="15">
        <f>N150+N151</f>
        <v/>
      </c>
    </row>
    <row r="153">
      <c r="A153" s="4" t="inlineStr">
        <is>
          <t>Ending Stocks</t>
        </is>
      </c>
      <c r="B153" s="12" t="inlineStr">
        <is>
          <t>MMT</t>
        </is>
      </c>
      <c r="C153" s="16" t="n">
        <v>0.145</v>
      </c>
      <c r="D153" s="16" t="n">
        <v>0.195</v>
      </c>
      <c r="E153" s="16" t="n">
        <v>0.062</v>
      </c>
      <c r="F153" s="16" t="n">
        <v>0.204</v>
      </c>
      <c r="G153" s="16" t="n">
        <v>0.162</v>
      </c>
      <c r="H153" s="16" t="n">
        <v>0.106</v>
      </c>
      <c r="I153" s="16" t="n">
        <v>0.306</v>
      </c>
      <c r="J153" s="16" t="n">
        <v>0.411</v>
      </c>
      <c r="K153" s="16" t="n">
        <v>0.544</v>
      </c>
      <c r="L153" s="16" t="n">
        <v>0.614</v>
      </c>
      <c r="M153" s="16" t="n">
        <v>0.774</v>
      </c>
      <c r="N153" s="16" t="n">
        <v>0.584</v>
      </c>
    </row>
    <row r="154">
      <c r="A154" s="4" t="inlineStr">
        <is>
          <t>Stocks-to-Use Ratio (%)</t>
        </is>
      </c>
      <c r="B154" s="12" t="inlineStr">
        <is>
          <t>Formula: End/TotUse</t>
        </is>
      </c>
      <c r="C154" s="17">
        <f>IF(C152&gt;0, C153/C152, 0)</f>
        <v/>
      </c>
      <c r="D154" s="17">
        <f>IF(D152&gt;0, D153/D152, 0)</f>
        <v/>
      </c>
      <c r="E154" s="17">
        <f>IF(E152&gt;0, E153/E152, 0)</f>
        <v/>
      </c>
      <c r="F154" s="17">
        <f>IF(F152&gt;0, F153/F152, 0)</f>
        <v/>
      </c>
      <c r="G154" s="17">
        <f>IF(G152&gt;0, G153/G152, 0)</f>
        <v/>
      </c>
      <c r="H154" s="17">
        <f>IF(H152&gt;0, H153/H152, 0)</f>
        <v/>
      </c>
      <c r="I154" s="17">
        <f>IF(I152&gt;0, I153/I152, 0)</f>
        <v/>
      </c>
      <c r="J154" s="17">
        <f>IF(J152&gt;0, J153/J152, 0)</f>
        <v/>
      </c>
      <c r="K154" s="17">
        <f>IF(K152&gt;0, K153/K152, 0)</f>
        <v/>
      </c>
      <c r="L154" s="17">
        <f>IF(L152&gt;0, L153/L152, 0)</f>
        <v/>
      </c>
      <c r="M154" s="17">
        <f>IF(M152&gt;0, M153/M152, 0)</f>
        <v/>
      </c>
      <c r="N154" s="17">
        <f>IF(N152&gt;0, N153/N152,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9" t="inlineStr">
        <is>
          <t>Ukraine S&amp;D (USDA PSD) — Official USDA FAS PSD Balance Sheets (Million Metric Tons, MMT)</t>
        </is>
      </c>
    </row>
    <row r="2">
      <c r="A2" s="2" t="inlineStr">
        <is>
          <t>100% Official USDA FAS PSD Data | Total Supply, Total Disappearance &amp; Stocks-to-Use % are Formula-Driven</t>
        </is>
      </c>
    </row>
    <row r="4">
      <c r="A4" s="10" t="inlineStr">
        <is>
          <t>UA — TOTAL GRAINS BALANCE SHEET (MMT)</t>
        </is>
      </c>
      <c r="B4" s="11" t="inlineStr">
        <is>
          <t>Unit / Formula</t>
        </is>
      </c>
      <c r="C4" s="11" t="inlineStr">
        <is>
          <t>2015/16</t>
        </is>
      </c>
      <c r="D4" s="11" t="inlineStr">
        <is>
          <t>2016/17</t>
        </is>
      </c>
      <c r="E4" s="11" t="inlineStr">
        <is>
          <t>2017/18</t>
        </is>
      </c>
      <c r="F4" s="11" t="inlineStr">
        <is>
          <t>2018/19</t>
        </is>
      </c>
      <c r="G4" s="11" t="inlineStr">
        <is>
          <t>2019/20</t>
        </is>
      </c>
      <c r="H4" s="11" t="inlineStr">
        <is>
          <t>2020/21</t>
        </is>
      </c>
      <c r="I4" s="11" t="inlineStr">
        <is>
          <t>2021/22</t>
        </is>
      </c>
      <c r="J4" s="11" t="inlineStr">
        <is>
          <t>2022/23</t>
        </is>
      </c>
      <c r="K4" s="11" t="inlineStr">
        <is>
          <t>2023/24</t>
        </is>
      </c>
      <c r="L4" s="11" t="inlineStr">
        <is>
          <t>2024/25</t>
        </is>
      </c>
      <c r="M4" s="11" t="inlineStr">
        <is>
          <t>2025/26</t>
        </is>
      </c>
      <c r="N4" s="11" t="inlineStr">
        <is>
          <t>2026/27</t>
        </is>
      </c>
    </row>
    <row r="5">
      <c r="A5" s="5" t="inlineStr">
        <is>
          <t>Area Harvested</t>
        </is>
      </c>
      <c r="B5" s="12" t="inlineStr">
        <is>
          <t>Million Ha (Mha)</t>
        </is>
      </c>
      <c r="C5" s="13" t="n">
        <v>14.2</v>
      </c>
      <c r="D5" s="13" t="n">
        <v>13.746</v>
      </c>
      <c r="E5" s="13" t="n">
        <v>13.727</v>
      </c>
      <c r="F5" s="13" t="n">
        <v>13.854</v>
      </c>
      <c r="G5" s="13" t="n">
        <v>14.793</v>
      </c>
      <c r="H5" s="13" t="n">
        <v>14.826</v>
      </c>
      <c r="I5" s="13" t="n">
        <v>15.575</v>
      </c>
      <c r="J5" s="13" t="n">
        <v>11.6</v>
      </c>
      <c r="K5" s="13" t="n">
        <v>10.89</v>
      </c>
      <c r="L5" s="13" t="n">
        <v>10.9</v>
      </c>
      <c r="M5" s="13" t="n">
        <v>11.6</v>
      </c>
      <c r="N5" s="13" t="n">
        <v>11.6</v>
      </c>
    </row>
    <row r="6">
      <c r="A6" s="5" t="inlineStr">
        <is>
          <t>Yield</t>
        </is>
      </c>
      <c r="B6" s="12" t="inlineStr">
        <is>
          <t>MT / Ha</t>
        </is>
      </c>
      <c r="C6" s="13" t="n">
        <v>4.18</v>
      </c>
      <c r="D6" s="13" t="n">
        <v>4.7</v>
      </c>
      <c r="E6" s="13" t="n">
        <v>4.36</v>
      </c>
      <c r="F6" s="13" t="n">
        <v>4.94</v>
      </c>
      <c r="G6" s="13" t="n">
        <v>5.04</v>
      </c>
      <c r="H6" s="13" t="n">
        <v>4.29</v>
      </c>
      <c r="I6" s="13" t="n">
        <v>5.46</v>
      </c>
      <c r="J6" s="13" t="n">
        <v>4.71</v>
      </c>
      <c r="K6" s="13" t="n">
        <v>5.66</v>
      </c>
      <c r="L6" s="13" t="n">
        <v>5.14</v>
      </c>
      <c r="M6" s="13" t="n">
        <v>5.22</v>
      </c>
      <c r="N6" s="13" t="n">
        <v>5.55</v>
      </c>
    </row>
    <row r="7">
      <c r="A7" s="4" t="inlineStr">
        <is>
          <t>Beginning Stocks</t>
        </is>
      </c>
      <c r="B7" s="12" t="inlineStr">
        <is>
          <t>MMT</t>
        </is>
      </c>
      <c r="C7" s="14" t="n">
        <v>8.762</v>
      </c>
      <c r="D7" s="14" t="n">
        <v>6.392</v>
      </c>
      <c r="E7" s="14" t="n">
        <v>4.609</v>
      </c>
      <c r="F7" s="14" t="n">
        <v>3.954</v>
      </c>
      <c r="G7" s="14" t="n">
        <v>3.454</v>
      </c>
      <c r="H7" s="14" t="n">
        <v>3.935</v>
      </c>
      <c r="I7" s="14" t="n">
        <v>2.998</v>
      </c>
      <c r="J7" s="14" t="n">
        <v>14.841</v>
      </c>
      <c r="K7" s="14" t="n">
        <v>6.641</v>
      </c>
      <c r="L7" s="14" t="n">
        <v>2.587</v>
      </c>
      <c r="M7" s="14" t="n">
        <v>1.947</v>
      </c>
      <c r="N7" s="14" t="n">
        <v>6.547</v>
      </c>
    </row>
    <row r="8">
      <c r="A8" s="5" t="inlineStr">
        <is>
          <t>Production (Harvest)</t>
        </is>
      </c>
      <c r="B8" s="12" t="inlineStr">
        <is>
          <t>MMT</t>
        </is>
      </c>
      <c r="C8" s="14" t="n">
        <v>59.358</v>
      </c>
      <c r="D8" s="14" t="n">
        <v>64.634</v>
      </c>
      <c r="E8" s="14" t="n">
        <v>59.791</v>
      </c>
      <c r="F8" s="14" t="n">
        <v>68.46599999999999</v>
      </c>
      <c r="G8" s="14" t="n">
        <v>74.586</v>
      </c>
      <c r="H8" s="14" t="n">
        <v>63.664</v>
      </c>
      <c r="I8" s="14" t="n">
        <v>85.056</v>
      </c>
      <c r="J8" s="14" t="n">
        <v>54.6</v>
      </c>
      <c r="K8" s="14" t="n">
        <v>61.6</v>
      </c>
      <c r="L8" s="14" t="n">
        <v>56</v>
      </c>
      <c r="M8" s="14" t="n">
        <v>60.6</v>
      </c>
      <c r="N8" s="14" t="n">
        <v>64.40000000000001</v>
      </c>
    </row>
    <row r="9">
      <c r="A9" s="5" t="inlineStr">
        <is>
          <t>Imports</t>
        </is>
      </c>
      <c r="B9" s="12" t="inlineStr">
        <is>
          <t>MMT</t>
        </is>
      </c>
      <c r="C9" s="14" t="n">
        <v>0.06</v>
      </c>
      <c r="D9" s="14" t="n">
        <v>0.078</v>
      </c>
      <c r="E9" s="14" t="n">
        <v>0.104</v>
      </c>
      <c r="F9" s="14" t="n">
        <v>0.135</v>
      </c>
      <c r="G9" s="14" t="n">
        <v>0.124</v>
      </c>
      <c r="H9" s="14" t="n">
        <v>0.201</v>
      </c>
      <c r="I9" s="14" t="n">
        <v>0.116</v>
      </c>
      <c r="J9" s="14" t="n">
        <v>0.106</v>
      </c>
      <c r="K9" s="14" t="n">
        <v>0.068</v>
      </c>
      <c r="L9" s="14" t="n">
        <v>0.08599999999999999</v>
      </c>
      <c r="M9" s="14" t="n">
        <v>0.08799999999999999</v>
      </c>
      <c r="N9" s="14" t="n">
        <v>0.11</v>
      </c>
    </row>
    <row r="10">
      <c r="A10" s="4">
        <f> Total Supply</f>
        <v/>
      </c>
      <c r="B10" s="12" t="inlineStr">
        <is>
          <t>Formula: Beg+Prod+Imp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  <c r="J10" s="15">
        <f>SUM(J7:J9)</f>
        <v/>
      </c>
      <c r="K10" s="15">
        <f>SUM(K7:K9)</f>
        <v/>
      </c>
      <c r="L10" s="15">
        <f>SUM(L7:L9)</f>
        <v/>
      </c>
      <c r="M10" s="15">
        <f>SUM(M7:M9)</f>
        <v/>
      </c>
      <c r="N10" s="15">
        <f>SUM(N7:N9)</f>
        <v/>
      </c>
    </row>
    <row r="11">
      <c r="A11" s="5" t="inlineStr">
        <is>
          <t>Crush (Oilseeds)</t>
        </is>
      </c>
      <c r="B11" s="12" t="inlineStr">
        <is>
          <t>MMT</t>
        </is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</row>
    <row r="12">
      <c r="A12" s="5" t="inlineStr">
        <is>
          <t>Feed &amp; Residual</t>
        </is>
      </c>
      <c r="B12" s="12" t="inlineStr">
        <is>
          <t>MMT</t>
        </is>
      </c>
      <c r="C12" s="14" t="n">
        <v>13.4</v>
      </c>
      <c r="D12" s="14" t="n">
        <v>12.3</v>
      </c>
      <c r="E12" s="14" t="n">
        <v>11.3</v>
      </c>
      <c r="F12" s="14" t="n">
        <v>10.4</v>
      </c>
      <c r="G12" s="14" t="n">
        <v>10.8</v>
      </c>
      <c r="H12" s="14" t="n">
        <v>11.4</v>
      </c>
      <c r="I12" s="14" t="n">
        <v>13.7</v>
      </c>
      <c r="J12" s="14" t="n">
        <v>9.300000000000001</v>
      </c>
      <c r="K12" s="14" t="n">
        <v>9</v>
      </c>
      <c r="L12" s="14" t="n">
        <v>11.5</v>
      </c>
      <c r="M12" s="14" t="n">
        <v>10.4</v>
      </c>
      <c r="N12" s="14" t="n">
        <v>12.3</v>
      </c>
    </row>
    <row r="13">
      <c r="A13" s="5" t="inlineStr">
        <is>
          <t>FSI / Food &amp; Industrial</t>
        </is>
      </c>
      <c r="B13" s="12" t="inlineStr">
        <is>
          <t>MMT</t>
        </is>
      </c>
      <c r="C13" s="14" t="n">
        <v>9.949999999999999</v>
      </c>
      <c r="D13" s="14" t="n">
        <v>9.4</v>
      </c>
      <c r="E13" s="14" t="n">
        <v>9.15</v>
      </c>
      <c r="F13" s="14" t="n">
        <v>8.800000000000001</v>
      </c>
      <c r="G13" s="14" t="n">
        <v>8.5</v>
      </c>
      <c r="H13" s="14" t="n">
        <v>8.5</v>
      </c>
      <c r="I13" s="14" t="n">
        <v>8.1</v>
      </c>
      <c r="J13" s="14" t="n">
        <v>6.65</v>
      </c>
      <c r="K13" s="14" t="n">
        <v>6.175</v>
      </c>
      <c r="L13" s="14" t="n">
        <v>7.2</v>
      </c>
      <c r="M13" s="14" t="n">
        <v>7.7</v>
      </c>
      <c r="N13" s="14" t="n">
        <v>7.9</v>
      </c>
    </row>
    <row r="14">
      <c r="A14" s="5" t="inlineStr">
        <is>
          <t>Total Domestic Consumption</t>
        </is>
      </c>
      <c r="B14" s="12" t="inlineStr">
        <is>
          <t>MMT</t>
        </is>
      </c>
      <c r="C14" s="14" t="n">
        <v>23.35</v>
      </c>
      <c r="D14" s="14" t="n">
        <v>21.7</v>
      </c>
      <c r="E14" s="14" t="n">
        <v>20.45</v>
      </c>
      <c r="F14" s="14" t="n">
        <v>19.2</v>
      </c>
      <c r="G14" s="14" t="n">
        <v>19.3</v>
      </c>
      <c r="H14" s="14" t="n">
        <v>19.9</v>
      </c>
      <c r="I14" s="14" t="n">
        <v>21.8</v>
      </c>
      <c r="J14" s="14" t="n">
        <v>15.95</v>
      </c>
      <c r="K14" s="14" t="n">
        <v>15.175</v>
      </c>
      <c r="L14" s="14" t="n">
        <v>18.7</v>
      </c>
      <c r="M14" s="14" t="n">
        <v>18.1</v>
      </c>
      <c r="N14" s="14" t="n">
        <v>20.2</v>
      </c>
    </row>
    <row r="15">
      <c r="A15" s="5" t="inlineStr">
        <is>
          <t>Exports (MY)</t>
        </is>
      </c>
      <c r="B15" s="12" t="inlineStr">
        <is>
          <t>MMT</t>
        </is>
      </c>
      <c r="C15" s="14" t="n">
        <v>38.438</v>
      </c>
      <c r="D15" s="14" t="n">
        <v>44.795</v>
      </c>
      <c r="E15" s="14" t="n">
        <v>40.1</v>
      </c>
      <c r="F15" s="14" t="n">
        <v>49.901</v>
      </c>
      <c r="G15" s="14" t="n">
        <v>54.929</v>
      </c>
      <c r="H15" s="14" t="n">
        <v>44.902</v>
      </c>
      <c r="I15" s="14" t="n">
        <v>51.529</v>
      </c>
      <c r="J15" s="14" t="n">
        <v>46.956</v>
      </c>
      <c r="K15" s="14" t="n">
        <v>50.547</v>
      </c>
      <c r="L15" s="14" t="n">
        <v>38.026</v>
      </c>
      <c r="M15" s="14" t="n">
        <v>37.988</v>
      </c>
      <c r="N15" s="14" t="n">
        <v>36.2</v>
      </c>
    </row>
    <row r="16">
      <c r="A16" s="4">
        <f> Total Disappearance</f>
        <v/>
      </c>
      <c r="B16" s="12" t="inlineStr">
        <is>
          <t>Formula: Dom+Exp</t>
        </is>
      </c>
      <c r="C16" s="15">
        <f>C14+C15</f>
        <v/>
      </c>
      <c r="D16" s="15">
        <f>D14+D15</f>
        <v/>
      </c>
      <c r="E16" s="15">
        <f>E14+E15</f>
        <v/>
      </c>
      <c r="F16" s="15">
        <f>F14+F15</f>
        <v/>
      </c>
      <c r="G16" s="15">
        <f>G14+G15</f>
        <v/>
      </c>
      <c r="H16" s="15">
        <f>H14+H15</f>
        <v/>
      </c>
      <c r="I16" s="15">
        <f>I14+I15</f>
        <v/>
      </c>
      <c r="J16" s="15">
        <f>J14+J15</f>
        <v/>
      </c>
      <c r="K16" s="15">
        <f>K14+K15</f>
        <v/>
      </c>
      <c r="L16" s="15">
        <f>L14+L15</f>
        <v/>
      </c>
      <c r="M16" s="15">
        <f>M14+M15</f>
        <v/>
      </c>
      <c r="N16" s="15">
        <f>N14+N15</f>
        <v/>
      </c>
    </row>
    <row r="17">
      <c r="A17" s="4" t="inlineStr">
        <is>
          <t>Ending Stocks</t>
        </is>
      </c>
      <c r="B17" s="12" t="inlineStr">
        <is>
          <t>MMT</t>
        </is>
      </c>
      <c r="C17" s="16" t="n">
        <v>6.392</v>
      </c>
      <c r="D17" s="16" t="n">
        <v>4.609</v>
      </c>
      <c r="E17" s="16" t="n">
        <v>3.954</v>
      </c>
      <c r="F17" s="16" t="n">
        <v>3.454</v>
      </c>
      <c r="G17" s="16" t="n">
        <v>3.935</v>
      </c>
      <c r="H17" s="16" t="n">
        <v>2.998</v>
      </c>
      <c r="I17" s="16" t="n">
        <v>14.841</v>
      </c>
      <c r="J17" s="16" t="n">
        <v>6.641</v>
      </c>
      <c r="K17" s="16" t="n">
        <v>2.587</v>
      </c>
      <c r="L17" s="16" t="n">
        <v>1.947</v>
      </c>
      <c r="M17" s="16" t="n">
        <v>6.547</v>
      </c>
      <c r="N17" s="16" t="n">
        <v>14.657</v>
      </c>
    </row>
    <row r="18">
      <c r="A18" s="4" t="inlineStr">
        <is>
          <t>Stocks-to-Use Ratio (%)</t>
        </is>
      </c>
      <c r="B18" s="12" t="inlineStr">
        <is>
          <t>Formula: End/TotUse</t>
        </is>
      </c>
      <c r="C18" s="17">
        <f>IF(C16&gt;0, C17/C16, 0)</f>
        <v/>
      </c>
      <c r="D18" s="17">
        <f>IF(D16&gt;0, D17/D16, 0)</f>
        <v/>
      </c>
      <c r="E18" s="17">
        <f>IF(E16&gt;0, E17/E16, 0)</f>
        <v/>
      </c>
      <c r="F18" s="17">
        <f>IF(F16&gt;0, F17/F16, 0)</f>
        <v/>
      </c>
      <c r="G18" s="17">
        <f>IF(G16&gt;0, G17/G16, 0)</f>
        <v/>
      </c>
      <c r="H18" s="17">
        <f>IF(H16&gt;0, H17/H16, 0)</f>
        <v/>
      </c>
      <c r="I18" s="17">
        <f>IF(I16&gt;0, I17/I16, 0)</f>
        <v/>
      </c>
      <c r="J18" s="17">
        <f>IF(J16&gt;0, J17/J16, 0)</f>
        <v/>
      </c>
      <c r="K18" s="17">
        <f>IF(K16&gt;0, K17/K16, 0)</f>
        <v/>
      </c>
      <c r="L18" s="17">
        <f>IF(L16&gt;0, L17/L16, 0)</f>
        <v/>
      </c>
      <c r="M18" s="17">
        <f>IF(M16&gt;0, M17/M16, 0)</f>
        <v/>
      </c>
      <c r="N18" s="17">
        <f>IF(N16&gt;0, N17/N16, 0)</f>
        <v/>
      </c>
    </row>
    <row r="21">
      <c r="A21" s="10" t="inlineStr">
        <is>
          <t>UA — WHEAT BALANCE SHEET (MMT)</t>
        </is>
      </c>
      <c r="B21" s="11" t="inlineStr">
        <is>
          <t>Unit / Formula</t>
        </is>
      </c>
      <c r="C21" s="11" t="inlineStr">
        <is>
          <t>2015/16</t>
        </is>
      </c>
      <c r="D21" s="11" t="inlineStr">
        <is>
          <t>2016/17</t>
        </is>
      </c>
      <c r="E21" s="11" t="inlineStr">
        <is>
          <t>2017/18</t>
        </is>
      </c>
      <c r="F21" s="11" t="inlineStr">
        <is>
          <t>2018/19</t>
        </is>
      </c>
      <c r="G21" s="11" t="inlineStr">
        <is>
          <t>2019/20</t>
        </is>
      </c>
      <c r="H21" s="11" t="inlineStr">
        <is>
          <t>2020/21</t>
        </is>
      </c>
      <c r="I21" s="11" t="inlineStr">
        <is>
          <t>2021/22</t>
        </is>
      </c>
      <c r="J21" s="11" t="inlineStr">
        <is>
          <t>2022/23</t>
        </is>
      </c>
      <c r="K21" s="11" t="inlineStr">
        <is>
          <t>2023/24</t>
        </is>
      </c>
      <c r="L21" s="11" t="inlineStr">
        <is>
          <t>2024/25</t>
        </is>
      </c>
      <c r="M21" s="11" t="inlineStr">
        <is>
          <t>2025/26</t>
        </is>
      </c>
      <c r="N21" s="11" t="inlineStr">
        <is>
          <t>2026/27</t>
        </is>
      </c>
    </row>
    <row r="22">
      <c r="A22" s="5" t="inlineStr">
        <is>
          <t>Area Harvested</t>
        </is>
      </c>
      <c r="B22" s="12" t="inlineStr">
        <is>
          <t>Million Ha (Mha)</t>
        </is>
      </c>
      <c r="C22" s="13" t="n">
        <v>7.115</v>
      </c>
      <c r="D22" s="13" t="n">
        <v>6.462</v>
      </c>
      <c r="E22" s="13" t="n">
        <v>6.642</v>
      </c>
      <c r="F22" s="13" t="n">
        <v>6.718</v>
      </c>
      <c r="G22" s="13" t="n">
        <v>7.02</v>
      </c>
      <c r="H22" s="13" t="n">
        <v>6.847</v>
      </c>
      <c r="I22" s="13" t="n">
        <v>7.409</v>
      </c>
      <c r="J22" s="13" t="n">
        <v>5.6</v>
      </c>
      <c r="K22" s="13" t="n">
        <v>5.01</v>
      </c>
      <c r="L22" s="13" t="n">
        <v>5.2</v>
      </c>
      <c r="M22" s="13" t="n">
        <v>5.65</v>
      </c>
      <c r="N22" s="13" t="n">
        <v>5.5</v>
      </c>
    </row>
    <row r="23">
      <c r="A23" s="5" t="inlineStr">
        <is>
          <t>Yield</t>
        </is>
      </c>
      <c r="B23" s="12" t="inlineStr">
        <is>
          <t>MT / Ha</t>
        </is>
      </c>
      <c r="C23" s="13" t="n">
        <v>3.83</v>
      </c>
      <c r="D23" s="13" t="n">
        <v>4.15</v>
      </c>
      <c r="E23" s="13" t="n">
        <v>4.06</v>
      </c>
      <c r="F23" s="13" t="n">
        <v>3.73</v>
      </c>
      <c r="G23" s="13" t="n">
        <v>4.16</v>
      </c>
      <c r="H23" s="13" t="n">
        <v>3.71</v>
      </c>
      <c r="I23" s="13" t="n">
        <v>4.46</v>
      </c>
      <c r="J23" s="13" t="n">
        <v>3.84</v>
      </c>
      <c r="K23" s="13" t="n">
        <v>4.59</v>
      </c>
      <c r="L23" s="13" t="n">
        <v>4.5</v>
      </c>
      <c r="M23" s="13" t="n">
        <v>4.27</v>
      </c>
      <c r="N23" s="13" t="n">
        <v>4.73</v>
      </c>
    </row>
    <row r="24">
      <c r="A24" s="4" t="inlineStr">
        <is>
          <t>Beginning Stocks</t>
        </is>
      </c>
      <c r="B24" s="12" t="inlineStr">
        <is>
          <t>MMT</t>
        </is>
      </c>
      <c r="C24" s="14" t="n">
        <v>5.678</v>
      </c>
      <c r="D24" s="14" t="n">
        <v>3.348</v>
      </c>
      <c r="E24" s="14" t="n">
        <v>1.773</v>
      </c>
      <c r="F24" s="14" t="n">
        <v>1.238</v>
      </c>
      <c r="G24" s="14" t="n">
        <v>1.555</v>
      </c>
      <c r="H24" s="14" t="n">
        <v>1.504</v>
      </c>
      <c r="I24" s="14" t="n">
        <v>1.505</v>
      </c>
      <c r="J24" s="14" t="n">
        <v>6.265</v>
      </c>
      <c r="K24" s="14" t="n">
        <v>2.926</v>
      </c>
      <c r="L24" s="14" t="n">
        <v>1.506</v>
      </c>
      <c r="M24" s="14" t="n">
        <v>0.726</v>
      </c>
      <c r="N24" s="14" t="n">
        <v>2</v>
      </c>
    </row>
    <row r="25">
      <c r="A25" s="5" t="inlineStr">
        <is>
          <t>Production (Harvest)</t>
        </is>
      </c>
      <c r="B25" s="12" t="inlineStr">
        <is>
          <t>MMT</t>
        </is>
      </c>
      <c r="C25" s="14" t="n">
        <v>27.274</v>
      </c>
      <c r="D25" s="14" t="n">
        <v>26.791</v>
      </c>
      <c r="E25" s="14" t="n">
        <v>26.981</v>
      </c>
      <c r="F25" s="14" t="n">
        <v>25.057</v>
      </c>
      <c r="G25" s="14" t="n">
        <v>29.171</v>
      </c>
      <c r="H25" s="14" t="n">
        <v>25.42</v>
      </c>
      <c r="I25" s="14" t="n">
        <v>33.007</v>
      </c>
      <c r="J25" s="14" t="n">
        <v>21.5</v>
      </c>
      <c r="K25" s="14" t="n">
        <v>23</v>
      </c>
      <c r="L25" s="14" t="n">
        <v>23.4</v>
      </c>
      <c r="M25" s="14" t="n">
        <v>24.1</v>
      </c>
      <c r="N25" s="14" t="n">
        <v>26</v>
      </c>
    </row>
    <row r="26">
      <c r="A26" s="5" t="inlineStr">
        <is>
          <t>Imports</t>
        </is>
      </c>
      <c r="B26" s="12" t="inlineStr">
        <is>
          <t>MMT</t>
        </is>
      </c>
      <c r="C26" s="14" t="n">
        <v>0.027</v>
      </c>
      <c r="D26" s="14" t="n">
        <v>0.041</v>
      </c>
      <c r="E26" s="14" t="n">
        <v>0.059</v>
      </c>
      <c r="F26" s="14" t="n">
        <v>0.079</v>
      </c>
      <c r="G26" s="14" t="n">
        <v>0.094</v>
      </c>
      <c r="H26" s="14" t="n">
        <v>0.132</v>
      </c>
      <c r="I26" s="14" t="n">
        <v>0.097</v>
      </c>
      <c r="J26" s="14" t="n">
        <v>0.083</v>
      </c>
      <c r="K26" s="14" t="n">
        <v>0.057</v>
      </c>
      <c r="L26" s="14" t="n">
        <v>0.07099999999999999</v>
      </c>
      <c r="M26" s="14" t="n">
        <v>0.078</v>
      </c>
      <c r="N26" s="14" t="n">
        <v>0.1</v>
      </c>
    </row>
    <row r="27">
      <c r="A27" s="4">
        <f> Total Supply</f>
        <v/>
      </c>
      <c r="B27" s="12" t="inlineStr">
        <is>
          <t>Formula: Beg+Prod+Imp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  <c r="J27" s="15">
        <f>SUM(J24:J26)</f>
        <v/>
      </c>
      <c r="K27" s="15">
        <f>SUM(K24:K26)</f>
        <v/>
      </c>
      <c r="L27" s="15">
        <f>SUM(L24:L26)</f>
        <v/>
      </c>
      <c r="M27" s="15">
        <f>SUM(M24:M26)</f>
        <v/>
      </c>
      <c r="N27" s="15">
        <f>SUM(N24:N26)</f>
        <v/>
      </c>
    </row>
    <row r="28">
      <c r="A28" s="5" t="inlineStr">
        <is>
          <t>Crush (Oilseeds)</t>
        </is>
      </c>
      <c r="B28" s="12" t="inlineStr">
        <is>
          <t>MMT</t>
        </is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</row>
    <row r="29">
      <c r="A29" s="5" t="inlineStr">
        <is>
          <t>Feed &amp; Residual</t>
        </is>
      </c>
      <c r="B29" s="12" t="inlineStr">
        <is>
          <t>MMT</t>
        </is>
      </c>
      <c r="C29" s="14" t="n">
        <v>5.1</v>
      </c>
      <c r="D29" s="14" t="n">
        <v>3.6</v>
      </c>
      <c r="E29" s="14" t="n">
        <v>3.3</v>
      </c>
      <c r="F29" s="14" t="n">
        <v>2.5</v>
      </c>
      <c r="G29" s="14" t="n">
        <v>2.2</v>
      </c>
      <c r="H29" s="14" t="n">
        <v>2.6</v>
      </c>
      <c r="I29" s="14" t="n">
        <v>3.5</v>
      </c>
      <c r="J29" s="14" t="n">
        <v>3</v>
      </c>
      <c r="K29" s="14" t="n">
        <v>1.6</v>
      </c>
      <c r="L29" s="14" t="n">
        <v>3.6</v>
      </c>
      <c r="M29" s="14" t="n">
        <v>3.8</v>
      </c>
      <c r="N29" s="14" t="n">
        <v>4.5</v>
      </c>
    </row>
    <row r="30">
      <c r="A30" s="5" t="inlineStr">
        <is>
          <t>FSI / Food &amp; Industrial</t>
        </is>
      </c>
      <c r="B30" s="12" t="inlineStr">
        <is>
          <t>MMT</t>
        </is>
      </c>
      <c r="C30" s="14" t="n">
        <v>7.1</v>
      </c>
      <c r="D30" s="14" t="n">
        <v>6.7</v>
      </c>
      <c r="E30" s="14" t="n">
        <v>6.5</v>
      </c>
      <c r="F30" s="14" t="n">
        <v>6.3</v>
      </c>
      <c r="G30" s="14" t="n">
        <v>6.1</v>
      </c>
      <c r="H30" s="14" t="n">
        <v>6.1</v>
      </c>
      <c r="I30" s="14" t="n">
        <v>6</v>
      </c>
      <c r="J30" s="14" t="n">
        <v>4.8</v>
      </c>
      <c r="K30" s="14" t="n">
        <v>4.3</v>
      </c>
      <c r="L30" s="14" t="n">
        <v>4.9</v>
      </c>
      <c r="M30" s="14" t="n">
        <v>5</v>
      </c>
      <c r="N30" s="14" t="n">
        <v>5</v>
      </c>
    </row>
    <row r="31">
      <c r="A31" s="5" t="inlineStr">
        <is>
          <t>Total Domestic Consumption</t>
        </is>
      </c>
      <c r="B31" s="12" t="inlineStr">
        <is>
          <t>MMT</t>
        </is>
      </c>
      <c r="C31" s="14" t="n">
        <v>12.2</v>
      </c>
      <c r="D31" s="14" t="n">
        <v>10.3</v>
      </c>
      <c r="E31" s="14" t="n">
        <v>9.800000000000001</v>
      </c>
      <c r="F31" s="14" t="n">
        <v>8.800000000000001</v>
      </c>
      <c r="G31" s="14" t="n">
        <v>8.300000000000001</v>
      </c>
      <c r="H31" s="14" t="n">
        <v>8.699999999999999</v>
      </c>
      <c r="I31" s="14" t="n">
        <v>9.5</v>
      </c>
      <c r="J31" s="14" t="n">
        <v>7.8</v>
      </c>
      <c r="K31" s="14" t="n">
        <v>5.9</v>
      </c>
      <c r="L31" s="14" t="n">
        <v>8.5</v>
      </c>
      <c r="M31" s="14" t="n">
        <v>8.800000000000001</v>
      </c>
      <c r="N31" s="14" t="n">
        <v>9.5</v>
      </c>
    </row>
    <row r="32">
      <c r="A32" s="5" t="inlineStr">
        <is>
          <t>Exports (MY)</t>
        </is>
      </c>
      <c r="B32" s="12" t="inlineStr">
        <is>
          <t>MMT</t>
        </is>
      </c>
      <c r="C32" s="14" t="n">
        <v>17.431</v>
      </c>
      <c r="D32" s="14" t="n">
        <v>18.107</v>
      </c>
      <c r="E32" s="14" t="n">
        <v>17.775</v>
      </c>
      <c r="F32" s="14" t="n">
        <v>16.019</v>
      </c>
      <c r="G32" s="14" t="n">
        <v>21.016</v>
      </c>
      <c r="H32" s="14" t="n">
        <v>16.851</v>
      </c>
      <c r="I32" s="14" t="n">
        <v>18.844</v>
      </c>
      <c r="J32" s="14" t="n">
        <v>17.122</v>
      </c>
      <c r="K32" s="14" t="n">
        <v>18.577</v>
      </c>
      <c r="L32" s="14" t="n">
        <v>15.751</v>
      </c>
      <c r="M32" s="14" t="n">
        <v>14.104</v>
      </c>
      <c r="N32" s="14" t="n">
        <v>12.5</v>
      </c>
    </row>
    <row r="33">
      <c r="A33" s="4">
        <f> Total Disappearance</f>
        <v/>
      </c>
      <c r="B33" s="12" t="inlineStr">
        <is>
          <t>Formula: Dom+Exp</t>
        </is>
      </c>
      <c r="C33" s="15">
        <f>C31+C32</f>
        <v/>
      </c>
      <c r="D33" s="15">
        <f>D31+D32</f>
        <v/>
      </c>
      <c r="E33" s="15">
        <f>E31+E32</f>
        <v/>
      </c>
      <c r="F33" s="15">
        <f>F31+F32</f>
        <v/>
      </c>
      <c r="G33" s="15">
        <f>G31+G32</f>
        <v/>
      </c>
      <c r="H33" s="15">
        <f>H31+H32</f>
        <v/>
      </c>
      <c r="I33" s="15">
        <f>I31+I32</f>
        <v/>
      </c>
      <c r="J33" s="15">
        <f>J31+J32</f>
        <v/>
      </c>
      <c r="K33" s="15">
        <f>K31+K32</f>
        <v/>
      </c>
      <c r="L33" s="15">
        <f>L31+L32</f>
        <v/>
      </c>
      <c r="M33" s="15">
        <f>M31+M32</f>
        <v/>
      </c>
      <c r="N33" s="15">
        <f>N31+N32</f>
        <v/>
      </c>
    </row>
    <row r="34">
      <c r="A34" s="4" t="inlineStr">
        <is>
          <t>Ending Stocks</t>
        </is>
      </c>
      <c r="B34" s="12" t="inlineStr">
        <is>
          <t>MMT</t>
        </is>
      </c>
      <c r="C34" s="16" t="n">
        <v>3.348</v>
      </c>
      <c r="D34" s="16" t="n">
        <v>1.773</v>
      </c>
      <c r="E34" s="16" t="n">
        <v>1.238</v>
      </c>
      <c r="F34" s="16" t="n">
        <v>1.555</v>
      </c>
      <c r="G34" s="16" t="n">
        <v>1.504</v>
      </c>
      <c r="H34" s="16" t="n">
        <v>1.505</v>
      </c>
      <c r="I34" s="16" t="n">
        <v>6.265</v>
      </c>
      <c r="J34" s="16" t="n">
        <v>2.926</v>
      </c>
      <c r="K34" s="16" t="n">
        <v>1.506</v>
      </c>
      <c r="L34" s="16" t="n">
        <v>0.726</v>
      </c>
      <c r="M34" s="16" t="n">
        <v>2</v>
      </c>
      <c r="N34" s="16" t="n">
        <v>6.1</v>
      </c>
    </row>
    <row r="35">
      <c r="A35" s="4" t="inlineStr">
        <is>
          <t>Stocks-to-Use Ratio (%)</t>
        </is>
      </c>
      <c r="B35" s="12" t="inlineStr">
        <is>
          <t>Formula: End/TotUse</t>
        </is>
      </c>
      <c r="C35" s="17">
        <f>IF(C33&gt;0, C34/C33, 0)</f>
        <v/>
      </c>
      <c r="D35" s="17">
        <f>IF(D33&gt;0, D34/D33, 0)</f>
        <v/>
      </c>
      <c r="E35" s="17">
        <f>IF(E33&gt;0, E34/E33, 0)</f>
        <v/>
      </c>
      <c r="F35" s="17">
        <f>IF(F33&gt;0, F34/F33, 0)</f>
        <v/>
      </c>
      <c r="G35" s="17">
        <f>IF(G33&gt;0, G34/G33, 0)</f>
        <v/>
      </c>
      <c r="H35" s="17">
        <f>IF(H33&gt;0, H34/H33, 0)</f>
        <v/>
      </c>
      <c r="I35" s="17">
        <f>IF(I33&gt;0, I34/I33, 0)</f>
        <v/>
      </c>
      <c r="J35" s="17">
        <f>IF(J33&gt;0, J34/J33, 0)</f>
        <v/>
      </c>
      <c r="K35" s="17">
        <f>IF(K33&gt;0, K34/K33, 0)</f>
        <v/>
      </c>
      <c r="L35" s="17">
        <f>IF(L33&gt;0, L34/L33, 0)</f>
        <v/>
      </c>
      <c r="M35" s="17">
        <f>IF(M33&gt;0, M34/M33, 0)</f>
        <v/>
      </c>
      <c r="N35" s="17">
        <f>IF(N33&gt;0, N34/N33, 0)</f>
        <v/>
      </c>
    </row>
    <row r="38">
      <c r="A38" s="10" t="inlineStr">
        <is>
          <t>UA — CORN BALANCE SHEET (MMT)</t>
        </is>
      </c>
      <c r="B38" s="11" t="inlineStr">
        <is>
          <t>Unit / Formula</t>
        </is>
      </c>
      <c r="C38" s="11" t="inlineStr">
        <is>
          <t>2015/16</t>
        </is>
      </c>
      <c r="D38" s="11" t="inlineStr">
        <is>
          <t>2016/17</t>
        </is>
      </c>
      <c r="E38" s="11" t="inlineStr">
        <is>
          <t>2017/18</t>
        </is>
      </c>
      <c r="F38" s="11" t="inlineStr">
        <is>
          <t>2018/19</t>
        </is>
      </c>
      <c r="G38" s="11" t="inlineStr">
        <is>
          <t>2019/20</t>
        </is>
      </c>
      <c r="H38" s="11" t="inlineStr">
        <is>
          <t>2020/21</t>
        </is>
      </c>
      <c r="I38" s="11" t="inlineStr">
        <is>
          <t>2021/22</t>
        </is>
      </c>
      <c r="J38" s="11" t="inlineStr">
        <is>
          <t>2022/23</t>
        </is>
      </c>
      <c r="K38" s="11" t="inlineStr">
        <is>
          <t>2023/24</t>
        </is>
      </c>
      <c r="L38" s="11" t="inlineStr">
        <is>
          <t>2024/25</t>
        </is>
      </c>
      <c r="M38" s="11" t="inlineStr">
        <is>
          <t>2025/26</t>
        </is>
      </c>
      <c r="N38" s="11" t="inlineStr">
        <is>
          <t>2026/27</t>
        </is>
      </c>
    </row>
    <row r="39">
      <c r="A39" s="5" t="inlineStr">
        <is>
          <t>Area Harvested</t>
        </is>
      </c>
      <c r="B39" s="12" t="inlineStr">
        <is>
          <t>Million Ha (Mha)</t>
        </is>
      </c>
      <c r="C39" s="13" t="n">
        <v>4.085</v>
      </c>
      <c r="D39" s="13" t="n">
        <v>4.239</v>
      </c>
      <c r="E39" s="13" t="n">
        <v>4.433</v>
      </c>
      <c r="F39" s="13" t="n">
        <v>4.567</v>
      </c>
      <c r="G39" s="13" t="n">
        <v>4.991</v>
      </c>
      <c r="H39" s="13" t="n">
        <v>5.395</v>
      </c>
      <c r="I39" s="13" t="n">
        <v>5.486</v>
      </c>
      <c r="J39" s="13" t="n">
        <v>4.05</v>
      </c>
      <c r="K39" s="13" t="n">
        <v>4.2</v>
      </c>
      <c r="L39" s="13" t="n">
        <v>4.1</v>
      </c>
      <c r="M39" s="13" t="n">
        <v>4.4</v>
      </c>
      <c r="N39" s="13" t="n">
        <v>4.45</v>
      </c>
    </row>
    <row r="40">
      <c r="A40" s="5" t="inlineStr">
        <is>
          <t>Yield</t>
        </is>
      </c>
      <c r="B40" s="12" t="inlineStr">
        <is>
          <t>MT / Ha</t>
        </is>
      </c>
      <c r="C40" s="13" t="n">
        <v>5.71</v>
      </c>
      <c r="D40" s="13" t="n">
        <v>6.6</v>
      </c>
      <c r="E40" s="13" t="n">
        <v>5.44</v>
      </c>
      <c r="F40" s="13" t="n">
        <v>7.84</v>
      </c>
      <c r="G40" s="13" t="n">
        <v>7.19</v>
      </c>
      <c r="H40" s="13" t="n">
        <v>5.62</v>
      </c>
      <c r="I40" s="13" t="n">
        <v>7.68</v>
      </c>
      <c r="J40" s="13" t="n">
        <v>6.67</v>
      </c>
      <c r="K40" s="13" t="n">
        <v>7.74</v>
      </c>
      <c r="L40" s="13" t="n">
        <v>6.54</v>
      </c>
      <c r="M40" s="13" t="n">
        <v>7.02</v>
      </c>
      <c r="N40" s="13" t="n">
        <v>7.15</v>
      </c>
    </row>
    <row r="41">
      <c r="A41" s="4" t="inlineStr">
        <is>
          <t>Beginning Stocks</t>
        </is>
      </c>
      <c r="B41" s="12" t="inlineStr">
        <is>
          <t>MMT</t>
        </is>
      </c>
      <c r="C41" s="14" t="n">
        <v>1.519</v>
      </c>
      <c r="D41" s="14" t="n">
        <v>1.435</v>
      </c>
      <c r="E41" s="14" t="n">
        <v>1.599</v>
      </c>
      <c r="F41" s="14" t="n">
        <v>1.567</v>
      </c>
      <c r="G41" s="14" t="n">
        <v>0.891</v>
      </c>
      <c r="H41" s="14" t="n">
        <v>1.478</v>
      </c>
      <c r="I41" s="14" t="n">
        <v>0.832</v>
      </c>
      <c r="J41" s="14" t="n">
        <v>7.796</v>
      </c>
      <c r="K41" s="14" t="n">
        <v>2.995</v>
      </c>
      <c r="L41" s="14" t="n">
        <v>0.542</v>
      </c>
      <c r="M41" s="14" t="n">
        <v>0.838</v>
      </c>
      <c r="N41" s="14" t="n">
        <v>2.848</v>
      </c>
    </row>
    <row r="42">
      <c r="A42" s="5" t="inlineStr">
        <is>
          <t>Production (Harvest)</t>
        </is>
      </c>
      <c r="B42" s="12" t="inlineStr">
        <is>
          <t>MMT</t>
        </is>
      </c>
      <c r="C42" s="14" t="n">
        <v>23.333</v>
      </c>
      <c r="D42" s="14" t="n">
        <v>27.969</v>
      </c>
      <c r="E42" s="14" t="n">
        <v>24.115</v>
      </c>
      <c r="F42" s="14" t="n">
        <v>35.805</v>
      </c>
      <c r="G42" s="14" t="n">
        <v>35.887</v>
      </c>
      <c r="H42" s="14" t="n">
        <v>30.297</v>
      </c>
      <c r="I42" s="14" t="n">
        <v>42.126</v>
      </c>
      <c r="J42" s="14" t="n">
        <v>27</v>
      </c>
      <c r="K42" s="14" t="n">
        <v>32.5</v>
      </c>
      <c r="L42" s="14" t="n">
        <v>26.8</v>
      </c>
      <c r="M42" s="14" t="n">
        <v>30.9</v>
      </c>
      <c r="N42" s="14" t="n">
        <v>31.8</v>
      </c>
    </row>
    <row r="43">
      <c r="A43" s="5" t="inlineStr">
        <is>
          <t>Imports</t>
        </is>
      </c>
      <c r="B43" s="12" t="inlineStr">
        <is>
          <t>MMT</t>
        </is>
      </c>
      <c r="C43" s="14" t="n">
        <v>0.028</v>
      </c>
      <c r="D43" s="14" t="n">
        <v>0.029</v>
      </c>
      <c r="E43" s="14" t="n">
        <v>0.039</v>
      </c>
      <c r="F43" s="14" t="n">
        <v>0.04</v>
      </c>
      <c r="G43" s="14" t="n">
        <v>0.029</v>
      </c>
      <c r="H43" s="14" t="n">
        <v>0.021</v>
      </c>
      <c r="I43" s="14" t="n">
        <v>0.018</v>
      </c>
      <c r="J43" s="14" t="n">
        <v>0.021</v>
      </c>
      <c r="K43" s="14" t="n">
        <v>0.01</v>
      </c>
      <c r="L43" s="14" t="n">
        <v>0.015</v>
      </c>
      <c r="M43" s="14" t="n">
        <v>0.01</v>
      </c>
      <c r="N43" s="14" t="n">
        <v>0.01</v>
      </c>
    </row>
    <row r="44">
      <c r="A44" s="4">
        <f> Total Supply</f>
        <v/>
      </c>
      <c r="B44" s="12" t="inlineStr">
        <is>
          <t>Formula: Beg+Prod+Imp</t>
        </is>
      </c>
      <c r="C44" s="15">
        <f>SUM(C41:C43)</f>
        <v/>
      </c>
      <c r="D44" s="15">
        <f>SUM(D41:D43)</f>
        <v/>
      </c>
      <c r="E44" s="15">
        <f>SUM(E41:E43)</f>
        <v/>
      </c>
      <c r="F44" s="15">
        <f>SUM(F41:F43)</f>
        <v/>
      </c>
      <c r="G44" s="15">
        <f>SUM(G41:G43)</f>
        <v/>
      </c>
      <c r="H44" s="15">
        <f>SUM(H41:H43)</f>
        <v/>
      </c>
      <c r="I44" s="15">
        <f>SUM(I41:I43)</f>
        <v/>
      </c>
      <c r="J44" s="15">
        <f>SUM(J41:J43)</f>
        <v/>
      </c>
      <c r="K44" s="15">
        <f>SUM(K41:K43)</f>
        <v/>
      </c>
      <c r="L44" s="15">
        <f>SUM(L41:L43)</f>
        <v/>
      </c>
      <c r="M44" s="15">
        <f>SUM(M41:M43)</f>
        <v/>
      </c>
      <c r="N44" s="15">
        <f>SUM(N41:N43)</f>
        <v/>
      </c>
    </row>
    <row r="45">
      <c r="A45" s="5" t="inlineStr">
        <is>
          <t>Crush (Oilseeds)</t>
        </is>
      </c>
      <c r="B45" s="12" t="inlineStr">
        <is>
          <t>MMT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</row>
    <row r="46">
      <c r="A46" s="5" t="inlineStr">
        <is>
          <t>Feed &amp; Residual</t>
        </is>
      </c>
      <c r="B46" s="12" t="inlineStr">
        <is>
          <t>MMT</t>
        </is>
      </c>
      <c r="C46" s="14" t="n">
        <v>5.5</v>
      </c>
      <c r="D46" s="14" t="n">
        <v>5.2</v>
      </c>
      <c r="E46" s="14" t="n">
        <v>4.9</v>
      </c>
      <c r="F46" s="14" t="n">
        <v>5</v>
      </c>
      <c r="G46" s="14" t="n">
        <v>5.2</v>
      </c>
      <c r="H46" s="14" t="n">
        <v>5.9</v>
      </c>
      <c r="I46" s="14" t="n">
        <v>7.2</v>
      </c>
      <c r="J46" s="14" t="n">
        <v>3.8</v>
      </c>
      <c r="K46" s="14" t="n">
        <v>4.6</v>
      </c>
      <c r="L46" s="14" t="n">
        <v>5.3</v>
      </c>
      <c r="M46" s="14" t="n">
        <v>5</v>
      </c>
      <c r="N46" s="14" t="n">
        <v>5.5</v>
      </c>
    </row>
    <row r="47">
      <c r="A47" s="5" t="inlineStr">
        <is>
          <t>FSI / Food &amp; Industrial</t>
        </is>
      </c>
      <c r="B47" s="12" t="inlineStr">
        <is>
          <t>MMT</t>
        </is>
      </c>
      <c r="C47" s="14" t="n">
        <v>1.35</v>
      </c>
      <c r="D47" s="14" t="n">
        <v>1.3</v>
      </c>
      <c r="E47" s="14" t="n">
        <v>1.25</v>
      </c>
      <c r="F47" s="14" t="n">
        <v>1.2</v>
      </c>
      <c r="G47" s="14" t="n">
        <v>1.2</v>
      </c>
      <c r="H47" s="14" t="n">
        <v>1.2</v>
      </c>
      <c r="I47" s="14" t="n">
        <v>1</v>
      </c>
      <c r="J47" s="14" t="n">
        <v>0.9</v>
      </c>
      <c r="K47" s="14" t="n">
        <v>0.875</v>
      </c>
      <c r="L47" s="14" t="n">
        <v>1.2</v>
      </c>
      <c r="M47" s="14" t="n">
        <v>1.5</v>
      </c>
      <c r="N47" s="14" t="n">
        <v>1.7</v>
      </c>
    </row>
    <row r="48">
      <c r="A48" s="5" t="inlineStr">
        <is>
          <t>Total Domestic Consumption</t>
        </is>
      </c>
      <c r="B48" s="12" t="inlineStr">
        <is>
          <t>MMT</t>
        </is>
      </c>
      <c r="C48" s="14" t="n">
        <v>6.85</v>
      </c>
      <c r="D48" s="14" t="n">
        <v>6.5</v>
      </c>
      <c r="E48" s="14" t="n">
        <v>6.15</v>
      </c>
      <c r="F48" s="14" t="n">
        <v>6.2</v>
      </c>
      <c r="G48" s="14" t="n">
        <v>6.4</v>
      </c>
      <c r="H48" s="14" t="n">
        <v>7.1</v>
      </c>
      <c r="I48" s="14" t="n">
        <v>8.199999999999999</v>
      </c>
      <c r="J48" s="14" t="n">
        <v>4.7</v>
      </c>
      <c r="K48" s="14" t="n">
        <v>5.475</v>
      </c>
      <c r="L48" s="14" t="n">
        <v>6.5</v>
      </c>
      <c r="M48" s="14" t="n">
        <v>6.5</v>
      </c>
      <c r="N48" s="14" t="n">
        <v>7.2</v>
      </c>
    </row>
    <row r="49">
      <c r="A49" s="5" t="inlineStr">
        <is>
          <t>Exports (MY)</t>
        </is>
      </c>
      <c r="B49" s="12" t="inlineStr">
        <is>
          <t>MMT</t>
        </is>
      </c>
      <c r="C49" s="14" t="n">
        <v>16.595</v>
      </c>
      <c r="D49" s="14" t="n">
        <v>21.334</v>
      </c>
      <c r="E49" s="14" t="n">
        <v>18.036</v>
      </c>
      <c r="F49" s="14" t="n">
        <v>30.321</v>
      </c>
      <c r="G49" s="14" t="n">
        <v>28.929</v>
      </c>
      <c r="H49" s="14" t="n">
        <v>23.864</v>
      </c>
      <c r="I49" s="14" t="n">
        <v>26.98</v>
      </c>
      <c r="J49" s="14" t="n">
        <v>27.122</v>
      </c>
      <c r="K49" s="14" t="n">
        <v>29.488</v>
      </c>
      <c r="L49" s="14" t="n">
        <v>20.019</v>
      </c>
      <c r="M49" s="14" t="n">
        <v>22.4</v>
      </c>
      <c r="N49" s="14" t="n">
        <v>22</v>
      </c>
    </row>
    <row r="50">
      <c r="A50" s="4">
        <f> Total Disappearance</f>
        <v/>
      </c>
      <c r="B50" s="12" t="inlineStr">
        <is>
          <t>Formula: Dom+Exp</t>
        </is>
      </c>
      <c r="C50" s="15">
        <f>C48+C49</f>
        <v/>
      </c>
      <c r="D50" s="15">
        <f>D48+D49</f>
        <v/>
      </c>
      <c r="E50" s="15">
        <f>E48+E49</f>
        <v/>
      </c>
      <c r="F50" s="15">
        <f>F48+F49</f>
        <v/>
      </c>
      <c r="G50" s="15">
        <f>G48+G49</f>
        <v/>
      </c>
      <c r="H50" s="15">
        <f>H48+H49</f>
        <v/>
      </c>
      <c r="I50" s="15">
        <f>I48+I49</f>
        <v/>
      </c>
      <c r="J50" s="15">
        <f>J48+J49</f>
        <v/>
      </c>
      <c r="K50" s="15">
        <f>K48+K49</f>
        <v/>
      </c>
      <c r="L50" s="15">
        <f>L48+L49</f>
        <v/>
      </c>
      <c r="M50" s="15">
        <f>M48+M49</f>
        <v/>
      </c>
      <c r="N50" s="15">
        <f>N48+N49</f>
        <v/>
      </c>
    </row>
    <row r="51">
      <c r="A51" s="4" t="inlineStr">
        <is>
          <t>Ending Stocks</t>
        </is>
      </c>
      <c r="B51" s="12" t="inlineStr">
        <is>
          <t>MMT</t>
        </is>
      </c>
      <c r="C51" s="16" t="n">
        <v>1.435</v>
      </c>
      <c r="D51" s="16" t="n">
        <v>1.599</v>
      </c>
      <c r="E51" s="16" t="n">
        <v>1.567</v>
      </c>
      <c r="F51" s="16" t="n">
        <v>0.891</v>
      </c>
      <c r="G51" s="16" t="n">
        <v>1.478</v>
      </c>
      <c r="H51" s="16" t="n">
        <v>0.832</v>
      </c>
      <c r="I51" s="16" t="n">
        <v>7.796</v>
      </c>
      <c r="J51" s="16" t="n">
        <v>2.995</v>
      </c>
      <c r="K51" s="16" t="n">
        <v>0.542</v>
      </c>
      <c r="L51" s="16" t="n">
        <v>0.838</v>
      </c>
      <c r="M51" s="16" t="n">
        <v>2.848</v>
      </c>
      <c r="N51" s="16" t="n">
        <v>5.458</v>
      </c>
    </row>
    <row r="52">
      <c r="A52" s="4" t="inlineStr">
        <is>
          <t>Stocks-to-Use Ratio (%)</t>
        </is>
      </c>
      <c r="B52" s="12" t="inlineStr">
        <is>
          <t>Formula: End/TotUse</t>
        </is>
      </c>
      <c r="C52" s="17">
        <f>IF(C50&gt;0, C51/C50, 0)</f>
        <v/>
      </c>
      <c r="D52" s="17">
        <f>IF(D50&gt;0, D51/D50, 0)</f>
        <v/>
      </c>
      <c r="E52" s="17">
        <f>IF(E50&gt;0, E51/E50, 0)</f>
        <v/>
      </c>
      <c r="F52" s="17">
        <f>IF(F50&gt;0, F51/F50, 0)</f>
        <v/>
      </c>
      <c r="G52" s="17">
        <f>IF(G50&gt;0, G51/G50, 0)</f>
        <v/>
      </c>
      <c r="H52" s="17">
        <f>IF(H50&gt;0, H51/H50, 0)</f>
        <v/>
      </c>
      <c r="I52" s="17">
        <f>IF(I50&gt;0, I51/I50, 0)</f>
        <v/>
      </c>
      <c r="J52" s="17">
        <f>IF(J50&gt;0, J51/J50, 0)</f>
        <v/>
      </c>
      <c r="K52" s="17">
        <f>IF(K50&gt;0, K51/K50, 0)</f>
        <v/>
      </c>
      <c r="L52" s="17">
        <f>IF(L50&gt;0, L51/L50, 0)</f>
        <v/>
      </c>
      <c r="M52" s="17">
        <f>IF(M50&gt;0, M51/M50, 0)</f>
        <v/>
      </c>
      <c r="N52" s="17">
        <f>IF(N50&gt;0, N51/N50, 0)</f>
        <v/>
      </c>
    </row>
    <row r="55">
      <c r="A55" s="10" t="inlineStr">
        <is>
          <t>UA — BARLEY BALANCE SHEET (MMT)</t>
        </is>
      </c>
      <c r="B55" s="11" t="inlineStr">
        <is>
          <t>Unit / Formula</t>
        </is>
      </c>
      <c r="C55" s="11" t="inlineStr">
        <is>
          <t>2015/16</t>
        </is>
      </c>
      <c r="D55" s="11" t="inlineStr">
        <is>
          <t>2016/17</t>
        </is>
      </c>
      <c r="E55" s="11" t="inlineStr">
        <is>
          <t>2017/18</t>
        </is>
      </c>
      <c r="F55" s="11" t="inlineStr">
        <is>
          <t>2018/19</t>
        </is>
      </c>
      <c r="G55" s="11" t="inlineStr">
        <is>
          <t>2019/20</t>
        </is>
      </c>
      <c r="H55" s="11" t="inlineStr">
        <is>
          <t>2020/21</t>
        </is>
      </c>
      <c r="I55" s="11" t="inlineStr">
        <is>
          <t>2021/22</t>
        </is>
      </c>
      <c r="J55" s="11" t="inlineStr">
        <is>
          <t>2022/23</t>
        </is>
      </c>
      <c r="K55" s="11" t="inlineStr">
        <is>
          <t>2023/24</t>
        </is>
      </c>
      <c r="L55" s="11" t="inlineStr">
        <is>
          <t>2024/25</t>
        </is>
      </c>
      <c r="M55" s="11" t="inlineStr">
        <is>
          <t>2025/26</t>
        </is>
      </c>
      <c r="N55" s="11" t="inlineStr">
        <is>
          <t>2026/27</t>
        </is>
      </c>
    </row>
    <row r="56">
      <c r="A56" s="5" t="inlineStr">
        <is>
          <t>Area Harvested</t>
        </is>
      </c>
      <c r="B56" s="12" t="inlineStr">
        <is>
          <t>Million Ha (Mha)</t>
        </is>
      </c>
      <c r="C56" s="13" t="n">
        <v>3</v>
      </c>
      <c r="D56" s="13" t="n">
        <v>3.045</v>
      </c>
      <c r="E56" s="13" t="n">
        <v>2.652</v>
      </c>
      <c r="F56" s="13" t="n">
        <v>2.569</v>
      </c>
      <c r="G56" s="13" t="n">
        <v>2.782</v>
      </c>
      <c r="H56" s="13" t="n">
        <v>2.584</v>
      </c>
      <c r="I56" s="13" t="n">
        <v>2.68</v>
      </c>
      <c r="J56" s="13" t="n">
        <v>1.95</v>
      </c>
      <c r="K56" s="13" t="n">
        <v>1.68</v>
      </c>
      <c r="L56" s="13" t="n">
        <v>1.6</v>
      </c>
      <c r="M56" s="13" t="n">
        <v>1.55</v>
      </c>
      <c r="N56" s="13" t="n">
        <v>1.65</v>
      </c>
    </row>
    <row r="57">
      <c r="A57" s="5" t="inlineStr">
        <is>
          <t>Yield</t>
        </is>
      </c>
      <c r="B57" s="12" t="inlineStr">
        <is>
          <t>MT / Ha</t>
        </is>
      </c>
      <c r="C57" s="13" t="n">
        <v>2.92</v>
      </c>
      <c r="D57" s="13" t="n">
        <v>3.24</v>
      </c>
      <c r="E57" s="13" t="n">
        <v>3.28</v>
      </c>
      <c r="F57" s="13" t="n">
        <v>2.96</v>
      </c>
      <c r="G57" s="13" t="n">
        <v>3.42</v>
      </c>
      <c r="H57" s="13" t="n">
        <v>3.08</v>
      </c>
      <c r="I57" s="13" t="n">
        <v>3.7</v>
      </c>
      <c r="J57" s="13" t="n">
        <v>3.13</v>
      </c>
      <c r="K57" s="13" t="n">
        <v>3.63</v>
      </c>
      <c r="L57" s="13" t="n">
        <v>3.63</v>
      </c>
      <c r="M57" s="13" t="n">
        <v>3.61</v>
      </c>
      <c r="N57" s="13" t="n">
        <v>4</v>
      </c>
    </row>
    <row r="58">
      <c r="A58" s="4" t="inlineStr">
        <is>
          <t>Beginning Stocks</t>
        </is>
      </c>
      <c r="B58" s="12" t="inlineStr">
        <is>
          <t>MMT</t>
        </is>
      </c>
      <c r="C58" s="14" t="n">
        <v>1.565</v>
      </c>
      <c r="D58" s="14" t="n">
        <v>1.609</v>
      </c>
      <c r="E58" s="14" t="n">
        <v>1.237</v>
      </c>
      <c r="F58" s="14" t="n">
        <v>1.149</v>
      </c>
      <c r="G58" s="14" t="n">
        <v>1.008</v>
      </c>
      <c r="H58" s="14" t="n">
        <v>0.953</v>
      </c>
      <c r="I58" s="14" t="n">
        <v>0.661</v>
      </c>
      <c r="J58" s="14" t="n">
        <v>0.78</v>
      </c>
      <c r="K58" s="14" t="n">
        <v>0.72</v>
      </c>
      <c r="L58" s="14" t="n">
        <v>0.539</v>
      </c>
      <c r="M58" s="14" t="n">
        <v>0.383</v>
      </c>
      <c r="N58" s="14" t="n">
        <v>1.699</v>
      </c>
    </row>
    <row r="59">
      <c r="A59" s="5" t="inlineStr">
        <is>
          <t>Production (Harvest)</t>
        </is>
      </c>
      <c r="B59" s="12" t="inlineStr">
        <is>
          <t>MMT</t>
        </is>
      </c>
      <c r="C59" s="14" t="n">
        <v>8.750999999999999</v>
      </c>
      <c r="D59" s="14" t="n">
        <v>9.874000000000001</v>
      </c>
      <c r="E59" s="14" t="n">
        <v>8.695</v>
      </c>
      <c r="F59" s="14" t="n">
        <v>7.604</v>
      </c>
      <c r="G59" s="14" t="n">
        <v>9.528</v>
      </c>
      <c r="H59" s="14" t="n">
        <v>7.947</v>
      </c>
      <c r="I59" s="14" t="n">
        <v>9.923</v>
      </c>
      <c r="J59" s="14" t="n">
        <v>6.1</v>
      </c>
      <c r="K59" s="14" t="n">
        <v>6.1</v>
      </c>
      <c r="L59" s="14" t="n">
        <v>5.8</v>
      </c>
      <c r="M59" s="14" t="n">
        <v>5.6</v>
      </c>
      <c r="N59" s="14" t="n">
        <v>6.6</v>
      </c>
    </row>
    <row r="60">
      <c r="A60" s="5" t="inlineStr">
        <is>
          <t>Imports</t>
        </is>
      </c>
      <c r="B60" s="12" t="inlineStr">
        <is>
          <t>MMT</t>
        </is>
      </c>
      <c r="C60" s="14" t="n">
        <v>0.005</v>
      </c>
      <c r="D60" s="14" t="n">
        <v>0.008</v>
      </c>
      <c r="E60" s="14" t="n">
        <v>0.006</v>
      </c>
      <c r="F60" s="14" t="n">
        <v>0.016</v>
      </c>
      <c r="G60" s="14" t="n">
        <v>0.001</v>
      </c>
      <c r="H60" s="14" t="n">
        <v>0.048</v>
      </c>
      <c r="I60" s="14" t="n">
        <v>0.001</v>
      </c>
      <c r="J60" s="14" t="n">
        <v>0.002</v>
      </c>
      <c r="K60" s="14" t="n">
        <v>0.001</v>
      </c>
      <c r="L60" s="14" t="n">
        <v>0</v>
      </c>
      <c r="M60" s="14" t="n">
        <v>0</v>
      </c>
      <c r="N60" s="14" t="n">
        <v>0</v>
      </c>
    </row>
    <row r="61">
      <c r="A61" s="4">
        <f> Total Supply</f>
        <v/>
      </c>
      <c r="B61" s="12" t="inlineStr">
        <is>
          <t>Formula: Beg+Prod+Imp</t>
        </is>
      </c>
      <c r="C61" s="15">
        <f>SUM(C58:C60)</f>
        <v/>
      </c>
      <c r="D61" s="15">
        <f>SUM(D58:D60)</f>
        <v/>
      </c>
      <c r="E61" s="15">
        <f>SUM(E58:E60)</f>
        <v/>
      </c>
      <c r="F61" s="15">
        <f>SUM(F58:F60)</f>
        <v/>
      </c>
      <c r="G61" s="15">
        <f>SUM(G58:G60)</f>
        <v/>
      </c>
      <c r="H61" s="15">
        <f>SUM(H58:H60)</f>
        <v/>
      </c>
      <c r="I61" s="15">
        <f>SUM(I58:I60)</f>
        <v/>
      </c>
      <c r="J61" s="15">
        <f>SUM(J58:J60)</f>
        <v/>
      </c>
      <c r="K61" s="15">
        <f>SUM(K58:K60)</f>
        <v/>
      </c>
      <c r="L61" s="15">
        <f>SUM(L58:L60)</f>
        <v/>
      </c>
      <c r="M61" s="15">
        <f>SUM(M58:M60)</f>
        <v/>
      </c>
      <c r="N61" s="15">
        <f>SUM(N58:N60)</f>
        <v/>
      </c>
    </row>
    <row r="62">
      <c r="A62" s="5" t="inlineStr">
        <is>
          <t>Crush (Oilseeds)</t>
        </is>
      </c>
      <c r="B62" s="12" t="inlineStr">
        <is>
          <t>MMT</t>
        </is>
      </c>
      <c r="C62" s="14" t="n">
        <v>0</v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</row>
    <row r="63">
      <c r="A63" s="5" t="inlineStr">
        <is>
          <t>Feed &amp; Residual</t>
        </is>
      </c>
      <c r="B63" s="12" t="inlineStr">
        <is>
          <t>MMT</t>
        </is>
      </c>
      <c r="C63" s="14" t="n">
        <v>2.8</v>
      </c>
      <c r="D63" s="14" t="n">
        <v>3.5</v>
      </c>
      <c r="E63" s="14" t="n">
        <v>3.1</v>
      </c>
      <c r="F63" s="14" t="n">
        <v>2.9</v>
      </c>
      <c r="G63" s="14" t="n">
        <v>3.4</v>
      </c>
      <c r="H63" s="14" t="n">
        <v>2.9</v>
      </c>
      <c r="I63" s="14" t="n">
        <v>3</v>
      </c>
      <c r="J63" s="14" t="n">
        <v>2.5</v>
      </c>
      <c r="K63" s="14" t="n">
        <v>2.8</v>
      </c>
      <c r="L63" s="14" t="n">
        <v>2.6</v>
      </c>
      <c r="M63" s="14" t="n">
        <v>1.6</v>
      </c>
      <c r="N63" s="14" t="n">
        <v>2.3</v>
      </c>
    </row>
    <row r="64">
      <c r="A64" s="5" t="inlineStr">
        <is>
          <t>FSI / Food &amp; Industrial</t>
        </is>
      </c>
      <c r="B64" s="12" t="inlineStr">
        <is>
          <t>MMT</t>
        </is>
      </c>
      <c r="C64" s="14" t="n">
        <v>1.5</v>
      </c>
      <c r="D64" s="14" t="n">
        <v>1.4</v>
      </c>
      <c r="E64" s="14" t="n">
        <v>1.4</v>
      </c>
      <c r="F64" s="14" t="n">
        <v>1.3</v>
      </c>
      <c r="G64" s="14" t="n">
        <v>1.2</v>
      </c>
      <c r="H64" s="14" t="n">
        <v>1.2</v>
      </c>
      <c r="I64" s="14" t="n">
        <v>1.1</v>
      </c>
      <c r="J64" s="14" t="n">
        <v>0.95</v>
      </c>
      <c r="K64" s="14" t="n">
        <v>1</v>
      </c>
      <c r="L64" s="14" t="n">
        <v>1.1</v>
      </c>
      <c r="M64" s="14" t="n">
        <v>1.2</v>
      </c>
      <c r="N64" s="14" t="n">
        <v>1.2</v>
      </c>
    </row>
    <row r="65">
      <c r="A65" s="5" t="inlineStr">
        <is>
          <t>Total Domestic Consumption</t>
        </is>
      </c>
      <c r="B65" s="12" t="inlineStr">
        <is>
          <t>MMT</t>
        </is>
      </c>
      <c r="C65" s="14" t="n">
        <v>4.3</v>
      </c>
      <c r="D65" s="14" t="n">
        <v>4.9</v>
      </c>
      <c r="E65" s="14" t="n">
        <v>4.5</v>
      </c>
      <c r="F65" s="14" t="n">
        <v>4.2</v>
      </c>
      <c r="G65" s="14" t="n">
        <v>4.6</v>
      </c>
      <c r="H65" s="14" t="n">
        <v>4.1</v>
      </c>
      <c r="I65" s="14" t="n">
        <v>4.1</v>
      </c>
      <c r="J65" s="14" t="n">
        <v>3.45</v>
      </c>
      <c r="K65" s="14" t="n">
        <v>3.8</v>
      </c>
      <c r="L65" s="14" t="n">
        <v>3.7</v>
      </c>
      <c r="M65" s="14" t="n">
        <v>2.8</v>
      </c>
      <c r="N65" s="14" t="n">
        <v>3.5</v>
      </c>
    </row>
    <row r="66">
      <c r="A66" s="5" t="inlineStr">
        <is>
          <t>Exports (MY)</t>
        </is>
      </c>
      <c r="B66" s="12" t="inlineStr">
        <is>
          <t>MMT</t>
        </is>
      </c>
      <c r="C66" s="14" t="n">
        <v>4.412</v>
      </c>
      <c r="D66" s="14" t="n">
        <v>5.354</v>
      </c>
      <c r="E66" s="14" t="n">
        <v>4.289</v>
      </c>
      <c r="F66" s="14" t="n">
        <v>3.561</v>
      </c>
      <c r="G66" s="14" t="n">
        <v>4.984</v>
      </c>
      <c r="H66" s="14" t="n">
        <v>4.187</v>
      </c>
      <c r="I66" s="14" t="n">
        <v>5.705</v>
      </c>
      <c r="J66" s="14" t="n">
        <v>2.712</v>
      </c>
      <c r="K66" s="14" t="n">
        <v>2.482</v>
      </c>
      <c r="L66" s="14" t="n">
        <v>2.256</v>
      </c>
      <c r="M66" s="14" t="n">
        <v>1.484</v>
      </c>
      <c r="N66" s="14" t="n">
        <v>1.7</v>
      </c>
    </row>
    <row r="67">
      <c r="A67" s="4">
        <f> Total Disappearance</f>
        <v/>
      </c>
      <c r="B67" s="12" t="inlineStr">
        <is>
          <t>Formula: Dom+Exp</t>
        </is>
      </c>
      <c r="C67" s="15">
        <f>C65+C66</f>
        <v/>
      </c>
      <c r="D67" s="15">
        <f>D65+D66</f>
        <v/>
      </c>
      <c r="E67" s="15">
        <f>E65+E66</f>
        <v/>
      </c>
      <c r="F67" s="15">
        <f>F65+F66</f>
        <v/>
      </c>
      <c r="G67" s="15">
        <f>G65+G66</f>
        <v/>
      </c>
      <c r="H67" s="15">
        <f>H65+H66</f>
        <v/>
      </c>
      <c r="I67" s="15">
        <f>I65+I66</f>
        <v/>
      </c>
      <c r="J67" s="15">
        <f>J65+J66</f>
        <v/>
      </c>
      <c r="K67" s="15">
        <f>K65+K66</f>
        <v/>
      </c>
      <c r="L67" s="15">
        <f>L65+L66</f>
        <v/>
      </c>
      <c r="M67" s="15">
        <f>M65+M66</f>
        <v/>
      </c>
      <c r="N67" s="15">
        <f>N65+N66</f>
        <v/>
      </c>
    </row>
    <row r="68">
      <c r="A68" s="4" t="inlineStr">
        <is>
          <t>Ending Stocks</t>
        </is>
      </c>
      <c r="B68" s="12" t="inlineStr">
        <is>
          <t>MMT</t>
        </is>
      </c>
      <c r="C68" s="16" t="n">
        <v>1.609</v>
      </c>
      <c r="D68" s="16" t="n">
        <v>1.237</v>
      </c>
      <c r="E68" s="16" t="n">
        <v>1.149</v>
      </c>
      <c r="F68" s="16" t="n">
        <v>1.008</v>
      </c>
      <c r="G68" s="16" t="n">
        <v>0.953</v>
      </c>
      <c r="H68" s="16" t="n">
        <v>0.661</v>
      </c>
      <c r="I68" s="16" t="n">
        <v>0.78</v>
      </c>
      <c r="J68" s="16" t="n">
        <v>0.72</v>
      </c>
      <c r="K68" s="16" t="n">
        <v>0.539</v>
      </c>
      <c r="L68" s="16" t="n">
        <v>0.383</v>
      </c>
      <c r="M68" s="16" t="n">
        <v>1.699</v>
      </c>
      <c r="N68" s="16" t="n">
        <v>3.099</v>
      </c>
    </row>
    <row r="69">
      <c r="A69" s="4" t="inlineStr">
        <is>
          <t>Stocks-to-Use Ratio (%)</t>
        </is>
      </c>
      <c r="B69" s="12" t="inlineStr">
        <is>
          <t>Formula: End/TotUse</t>
        </is>
      </c>
      <c r="C69" s="17">
        <f>IF(C67&gt;0, C68/C67, 0)</f>
        <v/>
      </c>
      <c r="D69" s="17">
        <f>IF(D67&gt;0, D68/D67, 0)</f>
        <v/>
      </c>
      <c r="E69" s="17">
        <f>IF(E67&gt;0, E68/E67, 0)</f>
        <v/>
      </c>
      <c r="F69" s="17">
        <f>IF(F67&gt;0, F68/F67, 0)</f>
        <v/>
      </c>
      <c r="G69" s="17">
        <f>IF(G67&gt;0, G68/G67, 0)</f>
        <v/>
      </c>
      <c r="H69" s="17">
        <f>IF(H67&gt;0, H68/H67, 0)</f>
        <v/>
      </c>
      <c r="I69" s="17">
        <f>IF(I67&gt;0, I68/I67, 0)</f>
        <v/>
      </c>
      <c r="J69" s="17">
        <f>IF(J67&gt;0, J68/J67, 0)</f>
        <v/>
      </c>
      <c r="K69" s="17">
        <f>IF(K67&gt;0, K68/K67, 0)</f>
        <v/>
      </c>
      <c r="L69" s="17">
        <f>IF(L67&gt;0, L68/L67, 0)</f>
        <v/>
      </c>
      <c r="M69" s="17">
        <f>IF(M67&gt;0, M68/M67, 0)</f>
        <v/>
      </c>
      <c r="N69" s="17">
        <f>IF(N67&gt;0, N68/N67, 0)</f>
        <v/>
      </c>
    </row>
    <row r="72">
      <c r="A72" s="10" t="inlineStr">
        <is>
          <t>UA — SUNFLOWERSEED BALANCE SHEET (MMT)</t>
        </is>
      </c>
      <c r="B72" s="11" t="inlineStr">
        <is>
          <t>Unit / Formula</t>
        </is>
      </c>
      <c r="C72" s="11" t="inlineStr">
        <is>
          <t>2015/16</t>
        </is>
      </c>
      <c r="D72" s="11" t="inlineStr">
        <is>
          <t>2016/17</t>
        </is>
      </c>
      <c r="E72" s="11" t="inlineStr">
        <is>
          <t>2017/18</t>
        </is>
      </c>
      <c r="F72" s="11" t="inlineStr">
        <is>
          <t>2018/19</t>
        </is>
      </c>
      <c r="G72" s="11" t="inlineStr">
        <is>
          <t>2019/20</t>
        </is>
      </c>
      <c r="H72" s="11" t="inlineStr">
        <is>
          <t>2020/21</t>
        </is>
      </c>
      <c r="I72" s="11" t="inlineStr">
        <is>
          <t>2021/22</t>
        </is>
      </c>
      <c r="J72" s="11" t="inlineStr">
        <is>
          <t>2022/23</t>
        </is>
      </c>
      <c r="K72" s="11" t="inlineStr">
        <is>
          <t>2023/24</t>
        </is>
      </c>
      <c r="L72" s="11" t="inlineStr">
        <is>
          <t>2024/25</t>
        </is>
      </c>
      <c r="M72" s="11" t="inlineStr">
        <is>
          <t>2025/26</t>
        </is>
      </c>
      <c r="N72" s="11" t="inlineStr">
        <is>
          <t>2026/27</t>
        </is>
      </c>
    </row>
    <row r="73">
      <c r="A73" s="5" t="inlineStr">
        <is>
          <t>Area Harvested</t>
        </is>
      </c>
      <c r="B73" s="12" t="inlineStr">
        <is>
          <t>Million Ha (Mha)</t>
        </is>
      </c>
      <c r="C73" s="13" t="n">
        <v>5.5</v>
      </c>
      <c r="D73" s="13" t="n">
        <v>6.8</v>
      </c>
      <c r="E73" s="13" t="n">
        <v>6.8</v>
      </c>
      <c r="F73" s="13" t="n">
        <v>6.5</v>
      </c>
      <c r="G73" s="13" t="n">
        <v>6.4</v>
      </c>
      <c r="H73" s="13" t="n">
        <v>7</v>
      </c>
      <c r="I73" s="13" t="n">
        <v>7.1</v>
      </c>
      <c r="J73" s="13" t="n">
        <v>5.7</v>
      </c>
      <c r="K73" s="13" t="n">
        <v>6.4</v>
      </c>
      <c r="L73" s="13" t="n">
        <v>6</v>
      </c>
      <c r="M73" s="13" t="n">
        <v>5.5</v>
      </c>
      <c r="N73" s="13" t="n">
        <v>5.8</v>
      </c>
    </row>
    <row r="74">
      <c r="A74" s="5" t="inlineStr">
        <is>
          <t>Yield</t>
        </is>
      </c>
      <c r="B74" s="12" t="inlineStr">
        <is>
          <t>MT / Ha</t>
        </is>
      </c>
      <c r="C74" s="13" t="n">
        <v>2.16</v>
      </c>
      <c r="D74" s="13" t="n">
        <v>2.24</v>
      </c>
      <c r="E74" s="13" t="n">
        <v>2.01</v>
      </c>
      <c r="F74" s="13" t="n">
        <v>2.31</v>
      </c>
      <c r="G74" s="13" t="n">
        <v>2.58</v>
      </c>
      <c r="H74" s="13" t="n">
        <v>2.01</v>
      </c>
      <c r="I74" s="13" t="n">
        <v>2.46</v>
      </c>
      <c r="J74" s="13" t="n">
        <v>2.14</v>
      </c>
      <c r="K74" s="13" t="n">
        <v>2.42</v>
      </c>
      <c r="L74" s="13" t="n">
        <v>2.17</v>
      </c>
      <c r="M74" s="13" t="n">
        <v>1.95</v>
      </c>
      <c r="N74" s="13" t="n">
        <v>2.24</v>
      </c>
    </row>
    <row r="75">
      <c r="A75" s="4" t="inlineStr">
        <is>
          <t>Beginning Stocks</t>
        </is>
      </c>
      <c r="B75" s="12" t="inlineStr">
        <is>
          <t>MMT</t>
        </is>
      </c>
      <c r="C75" s="14" t="n">
        <v>0.149</v>
      </c>
      <c r="D75" s="14" t="n">
        <v>0.168</v>
      </c>
      <c r="E75" s="14" t="n">
        <v>0.421</v>
      </c>
      <c r="F75" s="14" t="n">
        <v>0.172</v>
      </c>
      <c r="G75" s="14" t="n">
        <v>0.14</v>
      </c>
      <c r="H75" s="14" t="n">
        <v>0.043</v>
      </c>
      <c r="I75" s="14" t="n">
        <v>0.096</v>
      </c>
      <c r="J75" s="14" t="n">
        <v>4.645</v>
      </c>
      <c r="K75" s="14" t="n">
        <v>0.845</v>
      </c>
      <c r="L75" s="14" t="n">
        <v>0.176</v>
      </c>
      <c r="M75" s="14" t="n">
        <v>0.305</v>
      </c>
      <c r="N75" s="14" t="n">
        <v>0.198</v>
      </c>
    </row>
    <row r="76">
      <c r="A76" s="5" t="inlineStr">
        <is>
          <t>Production (Harvest)</t>
        </is>
      </c>
      <c r="B76" s="12" t="inlineStr">
        <is>
          <t>MMT</t>
        </is>
      </c>
      <c r="C76" s="14" t="n">
        <v>11.9</v>
      </c>
      <c r="D76" s="14" t="n">
        <v>15.2</v>
      </c>
      <c r="E76" s="14" t="n">
        <v>13.7</v>
      </c>
      <c r="F76" s="14" t="n">
        <v>15</v>
      </c>
      <c r="G76" s="14" t="n">
        <v>16.5</v>
      </c>
      <c r="H76" s="14" t="n">
        <v>14.1</v>
      </c>
      <c r="I76" s="14" t="n">
        <v>17.5</v>
      </c>
      <c r="J76" s="14" t="n">
        <v>12.2</v>
      </c>
      <c r="K76" s="14" t="n">
        <v>15.5</v>
      </c>
      <c r="L76" s="14" t="n">
        <v>13</v>
      </c>
      <c r="M76" s="14" t="n">
        <v>10.7</v>
      </c>
      <c r="N76" s="14" t="n">
        <v>13</v>
      </c>
    </row>
    <row r="77">
      <c r="A77" s="5" t="inlineStr">
        <is>
          <t>Imports</t>
        </is>
      </c>
      <c r="B77" s="12" t="inlineStr">
        <is>
          <t>MMT</t>
        </is>
      </c>
      <c r="C77" s="14" t="n">
        <v>0.022</v>
      </c>
      <c r="D77" s="14" t="n">
        <v>0.024</v>
      </c>
      <c r="E77" s="14" t="n">
        <v>0.03</v>
      </c>
      <c r="F77" s="14" t="n">
        <v>0.023</v>
      </c>
      <c r="G77" s="14" t="n">
        <v>0.031</v>
      </c>
      <c r="H77" s="14" t="n">
        <v>0.024</v>
      </c>
      <c r="I77" s="14" t="n">
        <v>0.021</v>
      </c>
      <c r="J77" s="14" t="n">
        <v>0.031</v>
      </c>
      <c r="K77" s="14" t="n">
        <v>0.02</v>
      </c>
      <c r="L77" s="14" t="n">
        <v>0.022</v>
      </c>
      <c r="M77" s="14" t="n">
        <v>0.033</v>
      </c>
      <c r="N77" s="14" t="n">
        <v>0.03</v>
      </c>
    </row>
    <row r="78">
      <c r="A78" s="4">
        <f> Total Supply</f>
        <v/>
      </c>
      <c r="B78" s="12" t="inlineStr">
        <is>
          <t>Formula: Beg+Prod+Imp</t>
        </is>
      </c>
      <c r="C78" s="15">
        <f>SUM(C75:C77)</f>
        <v/>
      </c>
      <c r="D78" s="15">
        <f>SUM(D75:D77)</f>
        <v/>
      </c>
      <c r="E78" s="15">
        <f>SUM(E75:E77)</f>
        <v/>
      </c>
      <c r="F78" s="15">
        <f>SUM(F75:F77)</f>
        <v/>
      </c>
      <c r="G78" s="15">
        <f>SUM(G75:G77)</f>
        <v/>
      </c>
      <c r="H78" s="15">
        <f>SUM(H75:H77)</f>
        <v/>
      </c>
      <c r="I78" s="15">
        <f>SUM(I75:I77)</f>
        <v/>
      </c>
      <c r="J78" s="15">
        <f>SUM(J75:J77)</f>
        <v/>
      </c>
      <c r="K78" s="15">
        <f>SUM(K75:K77)</f>
        <v/>
      </c>
      <c r="L78" s="15">
        <f>SUM(L75:L77)</f>
        <v/>
      </c>
      <c r="M78" s="15">
        <f>SUM(M75:M77)</f>
        <v/>
      </c>
      <c r="N78" s="15">
        <f>SUM(N75:N77)</f>
        <v/>
      </c>
    </row>
    <row r="79">
      <c r="A79" s="5" t="inlineStr">
        <is>
          <t>Crush (Oilseeds)</t>
        </is>
      </c>
      <c r="B79" s="12" t="inlineStr">
        <is>
          <t>MMT</t>
        </is>
      </c>
      <c r="C79" s="14" t="n">
        <v>11.65</v>
      </c>
      <c r="D79" s="14" t="n">
        <v>14.6</v>
      </c>
      <c r="E79" s="14" t="n">
        <v>13.75</v>
      </c>
      <c r="F79" s="14" t="n">
        <v>14.8</v>
      </c>
      <c r="G79" s="14" t="n">
        <v>16.425</v>
      </c>
      <c r="H79" s="14" t="n">
        <v>13.75</v>
      </c>
      <c r="I79" s="14" t="n">
        <v>10.8</v>
      </c>
      <c r="J79" s="14" t="n">
        <v>14</v>
      </c>
      <c r="K79" s="14" t="n">
        <v>15.7</v>
      </c>
      <c r="L79" s="14" t="n">
        <v>12.3</v>
      </c>
      <c r="M79" s="14" t="n">
        <v>10.5</v>
      </c>
      <c r="N79" s="14" t="n">
        <v>12.6</v>
      </c>
    </row>
    <row r="80">
      <c r="A80" s="5" t="inlineStr">
        <is>
          <t>Feed &amp; Residual</t>
        </is>
      </c>
      <c r="B80" s="12" t="inlineStr">
        <is>
          <t>MMT</t>
        </is>
      </c>
      <c r="C80" s="14" t="n">
        <v>0.12</v>
      </c>
      <c r="D80" s="14" t="n">
        <v>0.13</v>
      </c>
      <c r="E80" s="14" t="n">
        <v>0.14</v>
      </c>
      <c r="F80" s="14" t="n">
        <v>0.1</v>
      </c>
      <c r="G80" s="14" t="n">
        <v>0.1</v>
      </c>
      <c r="H80" s="14" t="n">
        <v>0.08</v>
      </c>
      <c r="I80" s="14" t="n">
        <v>0.5</v>
      </c>
      <c r="J80" s="14" t="n">
        <v>0.125</v>
      </c>
      <c r="K80" s="14" t="n">
        <v>0.125</v>
      </c>
      <c r="L80" s="14" t="n">
        <v>0.475</v>
      </c>
      <c r="M80" s="14" t="n">
        <v>0.25</v>
      </c>
      <c r="N80" s="14" t="n">
        <v>0.125</v>
      </c>
    </row>
    <row r="81">
      <c r="A81" s="5" t="inlineStr">
        <is>
          <t>FSI / Food &amp; Industrial</t>
        </is>
      </c>
      <c r="B81" s="12" t="inlineStr">
        <is>
          <t>MMT</t>
        </is>
      </c>
      <c r="C81" s="14" t="n">
        <v>0.05</v>
      </c>
      <c r="D81" s="14" t="n">
        <v>0.05</v>
      </c>
      <c r="E81" s="14" t="n">
        <v>0.05</v>
      </c>
      <c r="F81" s="14" t="n">
        <v>0.05</v>
      </c>
      <c r="G81" s="14" t="n">
        <v>0.05</v>
      </c>
      <c r="H81" s="14" t="n">
        <v>0.05</v>
      </c>
      <c r="I81" s="14" t="n">
        <v>0.05</v>
      </c>
      <c r="J81" s="14" t="n">
        <v>0.05</v>
      </c>
      <c r="K81" s="14" t="n">
        <v>0.05</v>
      </c>
      <c r="L81" s="14" t="n">
        <v>0.05</v>
      </c>
      <c r="M81" s="14" t="n">
        <v>0.05</v>
      </c>
      <c r="N81" s="14" t="n">
        <v>0.05</v>
      </c>
    </row>
    <row r="82">
      <c r="A82" s="5" t="inlineStr">
        <is>
          <t>Total Domestic Consumption</t>
        </is>
      </c>
      <c r="B82" s="12" t="inlineStr">
        <is>
          <t>MMT</t>
        </is>
      </c>
      <c r="C82" s="14" t="n">
        <v>11.82</v>
      </c>
      <c r="D82" s="14" t="n">
        <v>14.78</v>
      </c>
      <c r="E82" s="14" t="n">
        <v>13.94</v>
      </c>
      <c r="F82" s="14" t="n">
        <v>14.95</v>
      </c>
      <c r="G82" s="14" t="n">
        <v>16.575</v>
      </c>
      <c r="H82" s="14" t="n">
        <v>13.88</v>
      </c>
      <c r="I82" s="14" t="n">
        <v>11.35</v>
      </c>
      <c r="J82" s="14" t="n">
        <v>14.175</v>
      </c>
      <c r="K82" s="14" t="n">
        <v>15.875</v>
      </c>
      <c r="L82" s="14" t="n">
        <v>12.825</v>
      </c>
      <c r="M82" s="14" t="n">
        <v>10.8</v>
      </c>
      <c r="N82" s="14" t="n">
        <v>12.775</v>
      </c>
    </row>
    <row r="83">
      <c r="A83" s="5" t="inlineStr">
        <is>
          <t>Exports (MY)</t>
        </is>
      </c>
      <c r="B83" s="12" t="inlineStr">
        <is>
          <t>MMT</t>
        </is>
      </c>
      <c r="C83" s="14" t="n">
        <v>0.083</v>
      </c>
      <c r="D83" s="14" t="n">
        <v>0.191</v>
      </c>
      <c r="E83" s="14" t="n">
        <v>0.039</v>
      </c>
      <c r="F83" s="14" t="n">
        <v>0.105</v>
      </c>
      <c r="G83" s="14" t="n">
        <v>0.053</v>
      </c>
      <c r="H83" s="14" t="n">
        <v>0.191</v>
      </c>
      <c r="I83" s="14" t="n">
        <v>1.622</v>
      </c>
      <c r="J83" s="14" t="n">
        <v>1.856</v>
      </c>
      <c r="K83" s="14" t="n">
        <v>0.314</v>
      </c>
      <c r="L83" s="14" t="n">
        <v>0.068</v>
      </c>
      <c r="M83" s="14" t="n">
        <v>0.04</v>
      </c>
      <c r="N83" s="14" t="n">
        <v>0.1</v>
      </c>
    </row>
    <row r="84">
      <c r="A84" s="4">
        <f> Total Disappearance</f>
        <v/>
      </c>
      <c r="B84" s="12" t="inlineStr">
        <is>
          <t>Formula: Dom+Exp</t>
        </is>
      </c>
      <c r="C84" s="15">
        <f>C82+C83</f>
        <v/>
      </c>
      <c r="D84" s="15">
        <f>D82+D83</f>
        <v/>
      </c>
      <c r="E84" s="15">
        <f>E82+E83</f>
        <v/>
      </c>
      <c r="F84" s="15">
        <f>F82+F83</f>
        <v/>
      </c>
      <c r="G84" s="15">
        <f>G82+G83</f>
        <v/>
      </c>
      <c r="H84" s="15">
        <f>H82+H83</f>
        <v/>
      </c>
      <c r="I84" s="15">
        <f>I82+I83</f>
        <v/>
      </c>
      <c r="J84" s="15">
        <f>J82+J83</f>
        <v/>
      </c>
      <c r="K84" s="15">
        <f>K82+K83</f>
        <v/>
      </c>
      <c r="L84" s="15">
        <f>L82+L83</f>
        <v/>
      </c>
      <c r="M84" s="15">
        <f>M82+M83</f>
        <v/>
      </c>
      <c r="N84" s="15">
        <f>N82+N83</f>
        <v/>
      </c>
    </row>
    <row r="85">
      <c r="A85" s="4" t="inlineStr">
        <is>
          <t>Ending Stocks</t>
        </is>
      </c>
      <c r="B85" s="12" t="inlineStr">
        <is>
          <t>MMT</t>
        </is>
      </c>
      <c r="C85" s="16" t="n">
        <v>0.168</v>
      </c>
      <c r="D85" s="16" t="n">
        <v>0.421</v>
      </c>
      <c r="E85" s="16" t="n">
        <v>0.172</v>
      </c>
      <c r="F85" s="16" t="n">
        <v>0.14</v>
      </c>
      <c r="G85" s="16" t="n">
        <v>0.043</v>
      </c>
      <c r="H85" s="16" t="n">
        <v>0.096</v>
      </c>
      <c r="I85" s="16" t="n">
        <v>4.645</v>
      </c>
      <c r="J85" s="16" t="n">
        <v>0.845</v>
      </c>
      <c r="K85" s="16" t="n">
        <v>0.176</v>
      </c>
      <c r="L85" s="16" t="n">
        <v>0.305</v>
      </c>
      <c r="M85" s="16" t="n">
        <v>0.198</v>
      </c>
      <c r="N85" s="16" t="n">
        <v>0.353</v>
      </c>
    </row>
    <row r="86">
      <c r="A86" s="4" t="inlineStr">
        <is>
          <t>Stocks-to-Use Ratio (%)</t>
        </is>
      </c>
      <c r="B86" s="12" t="inlineStr">
        <is>
          <t>Formula: End/TotUse</t>
        </is>
      </c>
      <c r="C86" s="17">
        <f>IF(C84&gt;0, C85/C84, 0)</f>
        <v/>
      </c>
      <c r="D86" s="17">
        <f>IF(D84&gt;0, D85/D84, 0)</f>
        <v/>
      </c>
      <c r="E86" s="17">
        <f>IF(E84&gt;0, E85/E84, 0)</f>
        <v/>
      </c>
      <c r="F86" s="17">
        <f>IF(F84&gt;0, F85/F84, 0)</f>
        <v/>
      </c>
      <c r="G86" s="17">
        <f>IF(G84&gt;0, G85/G84, 0)</f>
        <v/>
      </c>
      <c r="H86" s="17">
        <f>IF(H84&gt;0, H85/H84, 0)</f>
        <v/>
      </c>
      <c r="I86" s="17">
        <f>IF(I84&gt;0, I85/I84, 0)</f>
        <v/>
      </c>
      <c r="J86" s="17">
        <f>IF(J84&gt;0, J85/J84, 0)</f>
        <v/>
      </c>
      <c r="K86" s="17">
        <f>IF(K84&gt;0, K85/K84, 0)</f>
        <v/>
      </c>
      <c r="L86" s="17">
        <f>IF(L84&gt;0, L85/L84, 0)</f>
        <v/>
      </c>
      <c r="M86" s="17">
        <f>IF(M84&gt;0, M85/M84, 0)</f>
        <v/>
      </c>
      <c r="N86" s="17">
        <f>IF(N84&gt;0, N85/N84, 0)</f>
        <v/>
      </c>
    </row>
    <row r="89">
      <c r="A89" s="10" t="inlineStr">
        <is>
          <t>UA — SUNFLOWER OIL BALANCE SHEET (MMT)</t>
        </is>
      </c>
      <c r="B89" s="11" t="inlineStr">
        <is>
          <t>Unit / Formula</t>
        </is>
      </c>
      <c r="C89" s="11" t="inlineStr">
        <is>
          <t>2015/16</t>
        </is>
      </c>
      <c r="D89" s="11" t="inlineStr">
        <is>
          <t>2016/17</t>
        </is>
      </c>
      <c r="E89" s="11" t="inlineStr">
        <is>
          <t>2017/18</t>
        </is>
      </c>
      <c r="F89" s="11" t="inlineStr">
        <is>
          <t>2018/19</t>
        </is>
      </c>
      <c r="G89" s="11" t="inlineStr">
        <is>
          <t>2019/20</t>
        </is>
      </c>
      <c r="H89" s="11" t="inlineStr">
        <is>
          <t>2020/21</t>
        </is>
      </c>
      <c r="I89" s="11" t="inlineStr">
        <is>
          <t>2021/22</t>
        </is>
      </c>
      <c r="J89" s="11" t="inlineStr">
        <is>
          <t>2022/23</t>
        </is>
      </c>
      <c r="K89" s="11" t="inlineStr">
        <is>
          <t>2023/24</t>
        </is>
      </c>
      <c r="L89" s="11" t="inlineStr">
        <is>
          <t>2024/25</t>
        </is>
      </c>
      <c r="M89" s="11" t="inlineStr">
        <is>
          <t>2025/26</t>
        </is>
      </c>
      <c r="N89" s="11" t="inlineStr">
        <is>
          <t>2026/27</t>
        </is>
      </c>
    </row>
    <row r="90">
      <c r="A90" s="5" t="inlineStr">
        <is>
          <t>Area Harvested</t>
        </is>
      </c>
      <c r="B90" s="12" t="inlineStr">
        <is>
          <t>Million Ha (Mha)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</row>
    <row r="91">
      <c r="A91" s="5" t="inlineStr">
        <is>
          <t>Yield</t>
        </is>
      </c>
      <c r="B91" s="12" t="inlineStr">
        <is>
          <t>MT / Ha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</row>
    <row r="92">
      <c r="A92" s="4" t="inlineStr">
        <is>
          <t>Beginning Stocks</t>
        </is>
      </c>
      <c r="B92" s="12" t="inlineStr">
        <is>
          <t>MMT</t>
        </is>
      </c>
      <c r="C92" s="14" t="n">
        <v>0.344</v>
      </c>
      <c r="D92" s="14" t="n">
        <v>0.305</v>
      </c>
      <c r="E92" s="14" t="n">
        <v>0.255</v>
      </c>
      <c r="F92" s="14" t="n">
        <v>0.279</v>
      </c>
      <c r="G92" s="14" t="n">
        <v>0.035</v>
      </c>
      <c r="H92" s="14" t="n">
        <v>0.189</v>
      </c>
      <c r="I92" s="14" t="n">
        <v>0.279</v>
      </c>
      <c r="J92" s="14" t="n">
        <v>0.094</v>
      </c>
      <c r="K92" s="14" t="n">
        <v>0.076</v>
      </c>
      <c r="L92" s="14" t="n">
        <v>0.134</v>
      </c>
      <c r="M92" s="14" t="n">
        <v>0.241</v>
      </c>
      <c r="N92" s="14" t="n">
        <v>0.265</v>
      </c>
    </row>
    <row r="93">
      <c r="A93" s="5" t="inlineStr">
        <is>
          <t>Production (Harvest)</t>
        </is>
      </c>
      <c r="B93" s="12" t="inlineStr">
        <is>
          <t>MMT</t>
        </is>
      </c>
      <c r="C93" s="14" t="n">
        <v>5.01</v>
      </c>
      <c r="D93" s="14" t="n">
        <v>6.351</v>
      </c>
      <c r="E93" s="14" t="n">
        <v>5.913</v>
      </c>
      <c r="F93" s="14" t="n">
        <v>6.364</v>
      </c>
      <c r="G93" s="14" t="n">
        <v>7.39</v>
      </c>
      <c r="H93" s="14" t="n">
        <v>5.913</v>
      </c>
      <c r="I93" s="14" t="n">
        <v>4.644</v>
      </c>
      <c r="J93" s="14" t="n">
        <v>6.02</v>
      </c>
      <c r="K93" s="14" t="n">
        <v>6.751</v>
      </c>
      <c r="L93" s="14" t="n">
        <v>5.29</v>
      </c>
      <c r="M93" s="14" t="n">
        <v>4.515</v>
      </c>
      <c r="N93" s="14" t="n">
        <v>5.418</v>
      </c>
    </row>
    <row r="94">
      <c r="A94" s="5" t="inlineStr">
        <is>
          <t>Imports</t>
        </is>
      </c>
      <c r="B94" s="12" t="inlineStr">
        <is>
          <t>MMT</t>
        </is>
      </c>
      <c r="C94" s="14" t="n">
        <v>0.001</v>
      </c>
      <c r="D94" s="14" t="n">
        <v>0</v>
      </c>
      <c r="E94" s="14" t="n">
        <v>0.001</v>
      </c>
      <c r="F94" s="14" t="n">
        <v>0</v>
      </c>
      <c r="G94" s="14" t="n">
        <v>0</v>
      </c>
      <c r="H94" s="14" t="n">
        <v>0</v>
      </c>
      <c r="I94" s="14" t="n">
        <v>0.001</v>
      </c>
      <c r="J94" s="14" t="n">
        <v>0.001</v>
      </c>
      <c r="K94" s="14" t="n">
        <v>0.001</v>
      </c>
      <c r="L94" s="14" t="n">
        <v>0.001</v>
      </c>
      <c r="M94" s="14" t="n">
        <v>0</v>
      </c>
      <c r="N94" s="14" t="n">
        <v>0</v>
      </c>
    </row>
    <row r="95">
      <c r="A95" s="4">
        <f> Total Supply</f>
        <v/>
      </c>
      <c r="B95" s="12" t="inlineStr">
        <is>
          <t>Formula: Beg+Prod+Imp</t>
        </is>
      </c>
      <c r="C95" s="15">
        <f>SUM(C92:C94)</f>
        <v/>
      </c>
      <c r="D95" s="15">
        <f>SUM(D92:D94)</f>
        <v/>
      </c>
      <c r="E95" s="15">
        <f>SUM(E92:E94)</f>
        <v/>
      </c>
      <c r="F95" s="15">
        <f>SUM(F92:F94)</f>
        <v/>
      </c>
      <c r="G95" s="15">
        <f>SUM(G92:G94)</f>
        <v/>
      </c>
      <c r="H95" s="15">
        <f>SUM(H92:H94)</f>
        <v/>
      </c>
      <c r="I95" s="15">
        <f>SUM(I92:I94)</f>
        <v/>
      </c>
      <c r="J95" s="15">
        <f>SUM(J92:J94)</f>
        <v/>
      </c>
      <c r="K95" s="15">
        <f>SUM(K92:K94)</f>
        <v/>
      </c>
      <c r="L95" s="15">
        <f>SUM(L92:L94)</f>
        <v/>
      </c>
      <c r="M95" s="15">
        <f>SUM(M92:M94)</f>
        <v/>
      </c>
      <c r="N95" s="15">
        <f>SUM(N92:N94)</f>
        <v/>
      </c>
    </row>
    <row r="96">
      <c r="A96" s="5" t="inlineStr">
        <is>
          <t>Crush (Oilseeds)</t>
        </is>
      </c>
      <c r="B96" s="12" t="inlineStr">
        <is>
          <t>MMT</t>
        </is>
      </c>
      <c r="C96" s="14" t="n">
        <v>11.65</v>
      </c>
      <c r="D96" s="14" t="n">
        <v>14.6</v>
      </c>
      <c r="E96" s="14" t="n">
        <v>13.75</v>
      </c>
      <c r="F96" s="14" t="n">
        <v>14.8</v>
      </c>
      <c r="G96" s="14" t="n">
        <v>16.425</v>
      </c>
      <c r="H96" s="14" t="n">
        <v>13.75</v>
      </c>
      <c r="I96" s="14" t="n">
        <v>10.8</v>
      </c>
      <c r="J96" s="14" t="n">
        <v>14</v>
      </c>
      <c r="K96" s="14" t="n">
        <v>15.7</v>
      </c>
      <c r="L96" s="14" t="n">
        <v>12.3</v>
      </c>
      <c r="M96" s="14" t="n">
        <v>10.5</v>
      </c>
      <c r="N96" s="14" t="n">
        <v>12.6</v>
      </c>
    </row>
    <row r="97">
      <c r="A97" s="5" t="inlineStr">
        <is>
          <t>Feed &amp; Residual</t>
        </is>
      </c>
      <c r="B97" s="12" t="inlineStr">
        <is>
          <t>MMT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</row>
    <row r="98">
      <c r="A98" s="5" t="inlineStr">
        <is>
          <t>FSI / Food &amp; Industrial</t>
        </is>
      </c>
      <c r="B98" s="12" t="inlineStr">
        <is>
          <t>MMT</t>
        </is>
      </c>
      <c r="C98" s="14" t="n">
        <v>0.52</v>
      </c>
      <c r="D98" s="14" t="n">
        <v>0.52</v>
      </c>
      <c r="E98" s="14" t="n">
        <v>0.518</v>
      </c>
      <c r="F98" s="14" t="n">
        <v>0.515</v>
      </c>
      <c r="G98" s="14" t="n">
        <v>0.52</v>
      </c>
      <c r="H98" s="14" t="n">
        <v>0.52</v>
      </c>
      <c r="I98" s="14" t="n">
        <v>0.35</v>
      </c>
      <c r="J98" s="14" t="n">
        <v>0.395</v>
      </c>
      <c r="K98" s="14" t="n">
        <v>0.4</v>
      </c>
      <c r="L98" s="14" t="n">
        <v>0.41</v>
      </c>
      <c r="M98" s="14" t="n">
        <v>0.425</v>
      </c>
      <c r="N98" s="14" t="n">
        <v>0.44</v>
      </c>
    </row>
    <row r="99">
      <c r="A99" s="5" t="inlineStr">
        <is>
          <t>Total Domestic Consumption</t>
        </is>
      </c>
      <c r="B99" s="12" t="inlineStr">
        <is>
          <t>MMT</t>
        </is>
      </c>
      <c r="C99" s="14" t="n">
        <v>0.55</v>
      </c>
      <c r="D99" s="14" t="n">
        <v>0.55</v>
      </c>
      <c r="E99" s="14" t="n">
        <v>0.548</v>
      </c>
      <c r="F99" s="14" t="n">
        <v>0.545</v>
      </c>
      <c r="G99" s="14" t="n">
        <v>0.55</v>
      </c>
      <c r="H99" s="14" t="n">
        <v>0.55</v>
      </c>
      <c r="I99" s="14" t="n">
        <v>0.365</v>
      </c>
      <c r="J99" s="14" t="n">
        <v>0.415</v>
      </c>
      <c r="K99" s="14" t="n">
        <v>0.43</v>
      </c>
      <c r="L99" s="14" t="n">
        <v>0.44</v>
      </c>
      <c r="M99" s="14" t="n">
        <v>0.455</v>
      </c>
      <c r="N99" s="14" t="n">
        <v>0.47</v>
      </c>
    </row>
    <row r="100">
      <c r="A100" s="5" t="inlineStr">
        <is>
          <t>Exports (MY)</t>
        </is>
      </c>
      <c r="B100" s="12" t="inlineStr">
        <is>
          <t>MMT</t>
        </is>
      </c>
      <c r="C100" s="14" t="n">
        <v>4.5</v>
      </c>
      <c r="D100" s="14" t="n">
        <v>5.851</v>
      </c>
      <c r="E100" s="14" t="n">
        <v>5.342</v>
      </c>
      <c r="F100" s="14" t="n">
        <v>6.063</v>
      </c>
      <c r="G100" s="14" t="n">
        <v>6.686</v>
      </c>
      <c r="H100" s="14" t="n">
        <v>5.273</v>
      </c>
      <c r="I100" s="14" t="n">
        <v>4.465</v>
      </c>
      <c r="J100" s="14" t="n">
        <v>5.624</v>
      </c>
      <c r="K100" s="14" t="n">
        <v>6.264</v>
      </c>
      <c r="L100" s="14" t="n">
        <v>4.744</v>
      </c>
      <c r="M100" s="14" t="n">
        <v>4.036</v>
      </c>
      <c r="N100" s="14" t="n">
        <v>5</v>
      </c>
    </row>
    <row r="101">
      <c r="A101" s="4">
        <f> Total Disappearance</f>
        <v/>
      </c>
      <c r="B101" s="12" t="inlineStr">
        <is>
          <t>Formula: Dom+Exp</t>
        </is>
      </c>
      <c r="C101" s="15">
        <f>C99+C100</f>
        <v/>
      </c>
      <c r="D101" s="15">
        <f>D99+D100</f>
        <v/>
      </c>
      <c r="E101" s="15">
        <f>E99+E100</f>
        <v/>
      </c>
      <c r="F101" s="15">
        <f>F99+F100</f>
        <v/>
      </c>
      <c r="G101" s="15">
        <f>G99+G100</f>
        <v/>
      </c>
      <c r="H101" s="15">
        <f>H99+H100</f>
        <v/>
      </c>
      <c r="I101" s="15">
        <f>I99+I100</f>
        <v/>
      </c>
      <c r="J101" s="15">
        <f>J99+J100</f>
        <v/>
      </c>
      <c r="K101" s="15">
        <f>K99+K100</f>
        <v/>
      </c>
      <c r="L101" s="15">
        <f>L99+L100</f>
        <v/>
      </c>
      <c r="M101" s="15">
        <f>M99+M100</f>
        <v/>
      </c>
      <c r="N101" s="15">
        <f>N99+N100</f>
        <v/>
      </c>
    </row>
    <row r="102">
      <c r="A102" s="4" t="inlineStr">
        <is>
          <t>Ending Stocks</t>
        </is>
      </c>
      <c r="B102" s="12" t="inlineStr">
        <is>
          <t>MMT</t>
        </is>
      </c>
      <c r="C102" s="16" t="n">
        <v>0.305</v>
      </c>
      <c r="D102" s="16" t="n">
        <v>0.255</v>
      </c>
      <c r="E102" s="16" t="n">
        <v>0.279</v>
      </c>
      <c r="F102" s="16" t="n">
        <v>0.035</v>
      </c>
      <c r="G102" s="16" t="n">
        <v>0.189</v>
      </c>
      <c r="H102" s="16" t="n">
        <v>0.279</v>
      </c>
      <c r="I102" s="16" t="n">
        <v>0.094</v>
      </c>
      <c r="J102" s="16" t="n">
        <v>0.076</v>
      </c>
      <c r="K102" s="16" t="n">
        <v>0.134</v>
      </c>
      <c r="L102" s="16" t="n">
        <v>0.241</v>
      </c>
      <c r="M102" s="16" t="n">
        <v>0.265</v>
      </c>
      <c r="N102" s="16" t="n">
        <v>0.213</v>
      </c>
    </row>
    <row r="103">
      <c r="A103" s="4" t="inlineStr">
        <is>
          <t>Stocks-to-Use Ratio (%)</t>
        </is>
      </c>
      <c r="B103" s="12" t="inlineStr">
        <is>
          <t>Formula: End/TotUse</t>
        </is>
      </c>
      <c r="C103" s="17">
        <f>IF(C101&gt;0, C102/C101, 0)</f>
        <v/>
      </c>
      <c r="D103" s="17">
        <f>IF(D101&gt;0, D102/D101, 0)</f>
        <v/>
      </c>
      <c r="E103" s="17">
        <f>IF(E101&gt;0, E102/E101, 0)</f>
        <v/>
      </c>
      <c r="F103" s="17">
        <f>IF(F101&gt;0, F102/F101, 0)</f>
        <v/>
      </c>
      <c r="G103" s="17">
        <f>IF(G101&gt;0, G102/G101, 0)</f>
        <v/>
      </c>
      <c r="H103" s="17">
        <f>IF(H101&gt;0, H102/H101, 0)</f>
        <v/>
      </c>
      <c r="I103" s="17">
        <f>IF(I101&gt;0, I102/I101, 0)</f>
        <v/>
      </c>
      <c r="J103" s="17">
        <f>IF(J101&gt;0, J102/J101, 0)</f>
        <v/>
      </c>
      <c r="K103" s="17">
        <f>IF(K101&gt;0, K102/K101, 0)</f>
        <v/>
      </c>
      <c r="L103" s="17">
        <f>IF(L101&gt;0, L102/L101, 0)</f>
        <v/>
      </c>
      <c r="M103" s="17">
        <f>IF(M101&gt;0, M102/M101, 0)</f>
        <v/>
      </c>
      <c r="N103" s="17">
        <f>IF(N101&gt;0, N102/N101, 0)</f>
        <v/>
      </c>
    </row>
    <row r="106">
      <c r="A106" s="10" t="inlineStr">
        <is>
          <t>UA — SUNFLOWER MEAL BALANCE SHEET (MMT)</t>
        </is>
      </c>
      <c r="B106" s="11" t="inlineStr">
        <is>
          <t>Unit / Formula</t>
        </is>
      </c>
      <c r="C106" s="11" t="inlineStr">
        <is>
          <t>2015/16</t>
        </is>
      </c>
      <c r="D106" s="11" t="inlineStr">
        <is>
          <t>2016/17</t>
        </is>
      </c>
      <c r="E106" s="11" t="inlineStr">
        <is>
          <t>2017/18</t>
        </is>
      </c>
      <c r="F106" s="11" t="inlineStr">
        <is>
          <t>2018/19</t>
        </is>
      </c>
      <c r="G106" s="11" t="inlineStr">
        <is>
          <t>2019/20</t>
        </is>
      </c>
      <c r="H106" s="11" t="inlineStr">
        <is>
          <t>2020/21</t>
        </is>
      </c>
      <c r="I106" s="11" t="inlineStr">
        <is>
          <t>2021/22</t>
        </is>
      </c>
      <c r="J106" s="11" t="inlineStr">
        <is>
          <t>2022/23</t>
        </is>
      </c>
      <c r="K106" s="11" t="inlineStr">
        <is>
          <t>2023/24</t>
        </is>
      </c>
      <c r="L106" s="11" t="inlineStr">
        <is>
          <t>2024/25</t>
        </is>
      </c>
      <c r="M106" s="11" t="inlineStr">
        <is>
          <t>2025/26</t>
        </is>
      </c>
      <c r="N106" s="11" t="inlineStr">
        <is>
          <t>2026/27</t>
        </is>
      </c>
    </row>
    <row r="107">
      <c r="A107" s="5" t="inlineStr">
        <is>
          <t>Area Harvested</t>
        </is>
      </c>
      <c r="B107" s="12" t="inlineStr">
        <is>
          <t>Million Ha (Mha)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</row>
    <row r="108">
      <c r="A108" s="5" t="inlineStr">
        <is>
          <t>Yield</t>
        </is>
      </c>
      <c r="B108" s="12" t="inlineStr">
        <is>
          <t>MT / Ha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</row>
    <row r="109">
      <c r="A109" s="4" t="inlineStr">
        <is>
          <t>Beginning Stocks</t>
        </is>
      </c>
      <c r="B109" s="12" t="inlineStr">
        <is>
          <t>MMT</t>
        </is>
      </c>
      <c r="C109" s="14" t="n">
        <v>0.265</v>
      </c>
      <c r="D109" s="14" t="n">
        <v>0.26</v>
      </c>
      <c r="E109" s="14" t="n">
        <v>0.184</v>
      </c>
      <c r="F109" s="14" t="n">
        <v>0.334</v>
      </c>
      <c r="G109" s="14" t="n">
        <v>0.293</v>
      </c>
      <c r="H109" s="14" t="n">
        <v>0.227</v>
      </c>
      <c r="I109" s="14" t="n">
        <v>0.237</v>
      </c>
      <c r="J109" s="14" t="n">
        <v>0.125</v>
      </c>
      <c r="K109" s="14" t="n">
        <v>0.247</v>
      </c>
      <c r="L109" s="14" t="n">
        <v>0.5659999999999999</v>
      </c>
      <c r="M109" s="14" t="n">
        <v>0.429</v>
      </c>
      <c r="N109" s="14" t="n">
        <v>0.23</v>
      </c>
    </row>
    <row r="110">
      <c r="A110" s="5" t="inlineStr">
        <is>
          <t>Production (Harvest)</t>
        </is>
      </c>
      <c r="B110" s="12" t="inlineStr">
        <is>
          <t>MMT</t>
        </is>
      </c>
      <c r="C110" s="14" t="n">
        <v>4.811</v>
      </c>
      <c r="D110" s="14" t="n">
        <v>6.03</v>
      </c>
      <c r="E110" s="14" t="n">
        <v>5.679</v>
      </c>
      <c r="F110" s="14" t="n">
        <v>6.112</v>
      </c>
      <c r="G110" s="14" t="n">
        <v>6.455</v>
      </c>
      <c r="H110" s="14" t="n">
        <v>5.679</v>
      </c>
      <c r="I110" s="14" t="n">
        <v>4.46</v>
      </c>
      <c r="J110" s="14" t="n">
        <v>5.782</v>
      </c>
      <c r="K110" s="14" t="n">
        <v>6.484</v>
      </c>
      <c r="L110" s="14" t="n">
        <v>5.08</v>
      </c>
      <c r="M110" s="14" t="n">
        <v>4.337</v>
      </c>
      <c r="N110" s="14" t="n">
        <v>5.204</v>
      </c>
    </row>
    <row r="111">
      <c r="A111" s="5" t="inlineStr">
        <is>
          <t>Imports</t>
        </is>
      </c>
      <c r="B111" s="12" t="inlineStr">
        <is>
          <t>MMT</t>
        </is>
      </c>
      <c r="C111" s="14" t="n">
        <v>0.001</v>
      </c>
      <c r="D111" s="14" t="n">
        <v>0.001</v>
      </c>
      <c r="E111" s="14" t="n">
        <v>0.008999999999999999</v>
      </c>
      <c r="F111" s="14" t="n">
        <v>0.005</v>
      </c>
      <c r="G111" s="14" t="n">
        <v>0.01</v>
      </c>
      <c r="H111" s="14" t="n">
        <v>0.002</v>
      </c>
      <c r="I111" s="14" t="n">
        <v>0.003</v>
      </c>
      <c r="J111" s="14" t="n">
        <v>0.013</v>
      </c>
      <c r="K111" s="14" t="n">
        <v>0.013</v>
      </c>
      <c r="L111" s="14" t="n">
        <v>0.001</v>
      </c>
      <c r="M111" s="14" t="n">
        <v>0</v>
      </c>
      <c r="N111" s="14" t="n">
        <v>0.01</v>
      </c>
    </row>
    <row r="112">
      <c r="A112" s="4">
        <f> Total Supply</f>
        <v/>
      </c>
      <c r="B112" s="12" t="inlineStr">
        <is>
          <t>Formula: Beg+Prod+Imp</t>
        </is>
      </c>
      <c r="C112" s="15">
        <f>SUM(C109:C111)</f>
        <v/>
      </c>
      <c r="D112" s="15">
        <f>SUM(D109:D111)</f>
        <v/>
      </c>
      <c r="E112" s="15">
        <f>SUM(E109:E111)</f>
        <v/>
      </c>
      <c r="F112" s="15">
        <f>SUM(F109:F111)</f>
        <v/>
      </c>
      <c r="G112" s="15">
        <f>SUM(G109:G111)</f>
        <v/>
      </c>
      <c r="H112" s="15">
        <f>SUM(H109:H111)</f>
        <v/>
      </c>
      <c r="I112" s="15">
        <f>SUM(I109:I111)</f>
        <v/>
      </c>
      <c r="J112" s="15">
        <f>SUM(J109:J111)</f>
        <v/>
      </c>
      <c r="K112" s="15">
        <f>SUM(K109:K111)</f>
        <v/>
      </c>
      <c r="L112" s="15">
        <f>SUM(L109:L111)</f>
        <v/>
      </c>
      <c r="M112" s="15">
        <f>SUM(M109:M111)</f>
        <v/>
      </c>
      <c r="N112" s="15">
        <f>SUM(N109:N111)</f>
        <v/>
      </c>
    </row>
    <row r="113">
      <c r="A113" s="5" t="inlineStr">
        <is>
          <t>Crush (Oilseeds)</t>
        </is>
      </c>
      <c r="B113" s="12" t="inlineStr">
        <is>
          <t>MMT</t>
        </is>
      </c>
      <c r="C113" s="14" t="n">
        <v>11.65</v>
      </c>
      <c r="D113" s="14" t="n">
        <v>14.6</v>
      </c>
      <c r="E113" s="14" t="n">
        <v>13.75</v>
      </c>
      <c r="F113" s="14" t="n">
        <v>14.8</v>
      </c>
      <c r="G113" s="14" t="n">
        <v>16.425</v>
      </c>
      <c r="H113" s="14" t="n">
        <v>13.75</v>
      </c>
      <c r="I113" s="14" t="n">
        <v>10.8</v>
      </c>
      <c r="J113" s="14" t="n">
        <v>14</v>
      </c>
      <c r="K113" s="14" t="n">
        <v>15.7</v>
      </c>
      <c r="L113" s="14" t="n">
        <v>12.3</v>
      </c>
      <c r="M113" s="14" t="n">
        <v>10.5</v>
      </c>
      <c r="N113" s="14" t="n">
        <v>12.6</v>
      </c>
    </row>
    <row r="114">
      <c r="A114" s="5" t="inlineStr">
        <is>
          <t>Feed &amp; Residual</t>
        </is>
      </c>
      <c r="B114" s="12" t="inlineStr">
        <is>
          <t>MMT</t>
        </is>
      </c>
      <c r="C114" s="14" t="n">
        <v>1</v>
      </c>
      <c r="D114" s="14" t="n">
        <v>1.3</v>
      </c>
      <c r="E114" s="14" t="n">
        <v>1.3</v>
      </c>
      <c r="F114" s="14" t="n">
        <v>1.35</v>
      </c>
      <c r="G114" s="14" t="n">
        <v>1.35</v>
      </c>
      <c r="H114" s="14" t="n">
        <v>1.275</v>
      </c>
      <c r="I114" s="14" t="n">
        <v>1.3</v>
      </c>
      <c r="J114" s="14" t="n">
        <v>1.7</v>
      </c>
      <c r="K114" s="14" t="n">
        <v>1.525</v>
      </c>
      <c r="L114" s="14" t="n">
        <v>1.8</v>
      </c>
      <c r="M114" s="14" t="n">
        <v>1.675</v>
      </c>
      <c r="N114" s="14" t="n">
        <v>1.875</v>
      </c>
    </row>
    <row r="115">
      <c r="A115" s="5" t="inlineStr">
        <is>
          <t>FSI / Food &amp; Industrial</t>
        </is>
      </c>
      <c r="B115" s="12" t="inlineStr">
        <is>
          <t>MMT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</row>
    <row r="116">
      <c r="A116" s="5" t="inlineStr">
        <is>
          <t>Total Domestic Consumption</t>
        </is>
      </c>
      <c r="B116" s="12" t="inlineStr">
        <is>
          <t>MMT</t>
        </is>
      </c>
      <c r="C116" s="14" t="n">
        <v>1</v>
      </c>
      <c r="D116" s="14" t="n">
        <v>1.3</v>
      </c>
      <c r="E116" s="14" t="n">
        <v>1.3</v>
      </c>
      <c r="F116" s="14" t="n">
        <v>1.35</v>
      </c>
      <c r="G116" s="14" t="n">
        <v>1.35</v>
      </c>
      <c r="H116" s="14" t="n">
        <v>1.275</v>
      </c>
      <c r="I116" s="14" t="n">
        <v>1.3</v>
      </c>
      <c r="J116" s="14" t="n">
        <v>1.7</v>
      </c>
      <c r="K116" s="14" t="n">
        <v>1.525</v>
      </c>
      <c r="L116" s="14" t="n">
        <v>1.8</v>
      </c>
      <c r="M116" s="14" t="n">
        <v>1.675</v>
      </c>
      <c r="N116" s="14" t="n">
        <v>1.875</v>
      </c>
    </row>
    <row r="117">
      <c r="A117" s="5" t="inlineStr">
        <is>
          <t>Exports (MY)</t>
        </is>
      </c>
      <c r="B117" s="12" t="inlineStr">
        <is>
          <t>MMT</t>
        </is>
      </c>
      <c r="C117" s="14" t="n">
        <v>3.817</v>
      </c>
      <c r="D117" s="14" t="n">
        <v>4.807</v>
      </c>
      <c r="E117" s="14" t="n">
        <v>4.238</v>
      </c>
      <c r="F117" s="14" t="n">
        <v>4.808</v>
      </c>
      <c r="G117" s="14" t="n">
        <v>5.181</v>
      </c>
      <c r="H117" s="14" t="n">
        <v>4.396</v>
      </c>
      <c r="I117" s="14" t="n">
        <v>3.275</v>
      </c>
      <c r="J117" s="14" t="n">
        <v>3.973</v>
      </c>
      <c r="K117" s="14" t="n">
        <v>4.653</v>
      </c>
      <c r="L117" s="14" t="n">
        <v>3.418</v>
      </c>
      <c r="M117" s="14" t="n">
        <v>2.861</v>
      </c>
      <c r="N117" s="14" t="n">
        <v>3.3</v>
      </c>
    </row>
    <row r="118">
      <c r="A118" s="4">
        <f> Total Disappearance</f>
        <v/>
      </c>
      <c r="B118" s="12" t="inlineStr">
        <is>
          <t>Formula: Dom+Exp</t>
        </is>
      </c>
      <c r="C118" s="15">
        <f>C116+C117</f>
        <v/>
      </c>
      <c r="D118" s="15">
        <f>D116+D117</f>
        <v/>
      </c>
      <c r="E118" s="15">
        <f>E116+E117</f>
        <v/>
      </c>
      <c r="F118" s="15">
        <f>F116+F117</f>
        <v/>
      </c>
      <c r="G118" s="15">
        <f>G116+G117</f>
        <v/>
      </c>
      <c r="H118" s="15">
        <f>H116+H117</f>
        <v/>
      </c>
      <c r="I118" s="15">
        <f>I116+I117</f>
        <v/>
      </c>
      <c r="J118" s="15">
        <f>J116+J117</f>
        <v/>
      </c>
      <c r="K118" s="15">
        <f>K116+K117</f>
        <v/>
      </c>
      <c r="L118" s="15">
        <f>L116+L117</f>
        <v/>
      </c>
      <c r="M118" s="15">
        <f>M116+M117</f>
        <v/>
      </c>
      <c r="N118" s="15">
        <f>N116+N117</f>
        <v/>
      </c>
    </row>
    <row r="119">
      <c r="A119" s="4" t="inlineStr">
        <is>
          <t>Ending Stocks</t>
        </is>
      </c>
      <c r="B119" s="12" t="inlineStr">
        <is>
          <t>MMT</t>
        </is>
      </c>
      <c r="C119" s="16" t="n">
        <v>0.26</v>
      </c>
      <c r="D119" s="16" t="n">
        <v>0.184</v>
      </c>
      <c r="E119" s="16" t="n">
        <v>0.334</v>
      </c>
      <c r="F119" s="16" t="n">
        <v>0.293</v>
      </c>
      <c r="G119" s="16" t="n">
        <v>0.227</v>
      </c>
      <c r="H119" s="16" t="n">
        <v>0.237</v>
      </c>
      <c r="I119" s="16" t="n">
        <v>0.125</v>
      </c>
      <c r="J119" s="16" t="n">
        <v>0.247</v>
      </c>
      <c r="K119" s="16" t="n">
        <v>0.5659999999999999</v>
      </c>
      <c r="L119" s="16" t="n">
        <v>0.429</v>
      </c>
      <c r="M119" s="16" t="n">
        <v>0.23</v>
      </c>
      <c r="N119" s="16" t="n">
        <v>0.269</v>
      </c>
    </row>
    <row r="120">
      <c r="A120" s="4" t="inlineStr">
        <is>
          <t>Stocks-to-Use Ratio (%)</t>
        </is>
      </c>
      <c r="B120" s="12" t="inlineStr">
        <is>
          <t>Formula: End/TotUse</t>
        </is>
      </c>
      <c r="C120" s="17">
        <f>IF(C118&gt;0, C119/C118, 0)</f>
        <v/>
      </c>
      <c r="D120" s="17">
        <f>IF(D118&gt;0, D119/D118, 0)</f>
        <v/>
      </c>
      <c r="E120" s="17">
        <f>IF(E118&gt;0, E119/E118, 0)</f>
        <v/>
      </c>
      <c r="F120" s="17">
        <f>IF(F118&gt;0, F119/F118, 0)</f>
        <v/>
      </c>
      <c r="G120" s="17">
        <f>IF(G118&gt;0, G119/G118, 0)</f>
        <v/>
      </c>
      <c r="H120" s="17">
        <f>IF(H118&gt;0, H119/H118, 0)</f>
        <v/>
      </c>
      <c r="I120" s="17">
        <f>IF(I118&gt;0, I119/I118, 0)</f>
        <v/>
      </c>
      <c r="J120" s="17">
        <f>IF(J118&gt;0, J119/J118, 0)</f>
        <v/>
      </c>
      <c r="K120" s="17">
        <f>IF(K118&gt;0, K119/K118, 0)</f>
        <v/>
      </c>
      <c r="L120" s="17">
        <f>IF(L118&gt;0, L119/L118, 0)</f>
        <v/>
      </c>
      <c r="M120" s="17">
        <f>IF(M118&gt;0, M119/M118, 0)</f>
        <v/>
      </c>
      <c r="N120" s="17">
        <f>IF(N118&gt;0, N119/N118, 0)</f>
        <v/>
      </c>
    </row>
    <row r="123">
      <c r="A123" s="10" t="inlineStr">
        <is>
          <t>UA — RAPESEED BALANCE SHEET (MMT)</t>
        </is>
      </c>
      <c r="B123" s="11" t="inlineStr">
        <is>
          <t>Unit / Formula</t>
        </is>
      </c>
      <c r="C123" s="11" t="inlineStr">
        <is>
          <t>2015/16</t>
        </is>
      </c>
      <c r="D123" s="11" t="inlineStr">
        <is>
          <t>2016/17</t>
        </is>
      </c>
      <c r="E123" s="11" t="inlineStr">
        <is>
          <t>2017/18</t>
        </is>
      </c>
      <c r="F123" s="11" t="inlineStr">
        <is>
          <t>2018/19</t>
        </is>
      </c>
      <c r="G123" s="11" t="inlineStr">
        <is>
          <t>2019/20</t>
        </is>
      </c>
      <c r="H123" s="11" t="inlineStr">
        <is>
          <t>2020/21</t>
        </is>
      </c>
      <c r="I123" s="11" t="inlineStr">
        <is>
          <t>2021/22</t>
        </is>
      </c>
      <c r="J123" s="11" t="inlineStr">
        <is>
          <t>2022/23</t>
        </is>
      </c>
      <c r="K123" s="11" t="inlineStr">
        <is>
          <t>2023/24</t>
        </is>
      </c>
      <c r="L123" s="11" t="inlineStr">
        <is>
          <t>2024/25</t>
        </is>
      </c>
      <c r="M123" s="11" t="inlineStr">
        <is>
          <t>2025/26</t>
        </is>
      </c>
      <c r="N123" s="11" t="inlineStr">
        <is>
          <t>2026/27</t>
        </is>
      </c>
    </row>
    <row r="124">
      <c r="A124" s="5" t="inlineStr">
        <is>
          <t>Area Harvested</t>
        </is>
      </c>
      <c r="B124" s="12" t="inlineStr">
        <is>
          <t>Million Ha (Mha)</t>
        </is>
      </c>
      <c r="C124" s="13" t="n">
        <v>0.677</v>
      </c>
      <c r="D124" s="13" t="n">
        <v>0.45</v>
      </c>
      <c r="E124" s="13" t="n">
        <v>0.792</v>
      </c>
      <c r="F124" s="13" t="n">
        <v>1</v>
      </c>
      <c r="G124" s="13" t="n">
        <v>1.338</v>
      </c>
      <c r="H124" s="13" t="n">
        <v>1.19</v>
      </c>
      <c r="I124" s="13" t="n">
        <v>1.035</v>
      </c>
      <c r="J124" s="13" t="n">
        <v>1.23</v>
      </c>
      <c r="K124" s="13" t="n">
        <v>1.6</v>
      </c>
      <c r="L124" s="13" t="n">
        <v>1.35</v>
      </c>
      <c r="M124" s="13" t="n">
        <v>1.35</v>
      </c>
      <c r="N124" s="13" t="n">
        <v>1.5</v>
      </c>
    </row>
    <row r="125">
      <c r="A125" s="5" t="inlineStr">
        <is>
          <t>Yield</t>
        </is>
      </c>
      <c r="B125" s="12" t="inlineStr">
        <is>
          <t>MT / Ha</t>
        </is>
      </c>
      <c r="C125" s="13" t="n">
        <v>2.58</v>
      </c>
      <c r="D125" s="13" t="n">
        <v>2.78</v>
      </c>
      <c r="E125" s="13" t="n">
        <v>2.8</v>
      </c>
      <c r="F125" s="13" t="n">
        <v>2.85</v>
      </c>
      <c r="G125" s="13" t="n">
        <v>2.59</v>
      </c>
      <c r="H125" s="13" t="n">
        <v>2.31</v>
      </c>
      <c r="I125" s="13" t="n">
        <v>2.91</v>
      </c>
      <c r="J125" s="13" t="n">
        <v>2.85</v>
      </c>
      <c r="K125" s="13" t="n">
        <v>2.97</v>
      </c>
      <c r="L125" s="13" t="n">
        <v>2.81</v>
      </c>
      <c r="M125" s="13" t="n">
        <v>2.59</v>
      </c>
      <c r="N125" s="13" t="n">
        <v>2.9</v>
      </c>
    </row>
    <row r="126">
      <c r="A126" s="4" t="inlineStr">
        <is>
          <t>Beginning Stocks</t>
        </is>
      </c>
      <c r="B126" s="12" t="inlineStr">
        <is>
          <t>MMT</t>
        </is>
      </c>
      <c r="C126" s="14" t="n">
        <v>0.018</v>
      </c>
      <c r="D126" s="14" t="n">
        <v>0</v>
      </c>
      <c r="E126" s="14" t="n">
        <v>0.041</v>
      </c>
      <c r="F126" s="14" t="n">
        <v>0.003</v>
      </c>
      <c r="G126" s="14" t="n">
        <v>0.004</v>
      </c>
      <c r="H126" s="14" t="n">
        <v>0.029</v>
      </c>
      <c r="I126" s="14" t="n">
        <v>0.151</v>
      </c>
      <c r="J126" s="14" t="n">
        <v>0.07000000000000001</v>
      </c>
      <c r="K126" s="14" t="n">
        <v>0.002</v>
      </c>
      <c r="L126" s="14" t="n">
        <v>0.002</v>
      </c>
      <c r="M126" s="14" t="n">
        <v>0.057</v>
      </c>
      <c r="N126" s="14" t="n">
        <v>0.253</v>
      </c>
    </row>
    <row r="127">
      <c r="A127" s="5" t="inlineStr">
        <is>
          <t>Production (Harvest)</t>
        </is>
      </c>
      <c r="B127" s="12" t="inlineStr">
        <is>
          <t>MMT</t>
        </is>
      </c>
      <c r="C127" s="14" t="n">
        <v>1.744</v>
      </c>
      <c r="D127" s="14" t="n">
        <v>1.25</v>
      </c>
      <c r="E127" s="14" t="n">
        <v>2.217</v>
      </c>
      <c r="F127" s="14" t="n">
        <v>2.85</v>
      </c>
      <c r="G127" s="14" t="n">
        <v>3.465</v>
      </c>
      <c r="H127" s="14" t="n">
        <v>2.75</v>
      </c>
      <c r="I127" s="14" t="n">
        <v>3.015</v>
      </c>
      <c r="J127" s="14" t="n">
        <v>3.5</v>
      </c>
      <c r="K127" s="14" t="n">
        <v>4.75</v>
      </c>
      <c r="L127" s="14" t="n">
        <v>3.8</v>
      </c>
      <c r="M127" s="14" t="n">
        <v>3.5</v>
      </c>
      <c r="N127" s="14" t="n">
        <v>4.35</v>
      </c>
    </row>
    <row r="128">
      <c r="A128" s="5" t="inlineStr">
        <is>
          <t>Imports</t>
        </is>
      </c>
      <c r="B128" s="12" t="inlineStr">
        <is>
          <t>MMT</t>
        </is>
      </c>
      <c r="C128" s="14" t="n">
        <v>0.002</v>
      </c>
      <c r="D128" s="14" t="n">
        <v>0.006</v>
      </c>
      <c r="E128" s="14" t="n">
        <v>0.01</v>
      </c>
      <c r="F128" s="14" t="n">
        <v>0.008</v>
      </c>
      <c r="G128" s="14" t="n">
        <v>0.01</v>
      </c>
      <c r="H128" s="14" t="n">
        <v>0.07199999999999999</v>
      </c>
      <c r="I128" s="14" t="n">
        <v>0.012</v>
      </c>
      <c r="J128" s="14" t="n">
        <v>0.04</v>
      </c>
      <c r="K128" s="14" t="n">
        <v>0.007</v>
      </c>
      <c r="L128" s="14" t="n">
        <v>0.005</v>
      </c>
      <c r="M128" s="14" t="n">
        <v>0.004</v>
      </c>
      <c r="N128" s="14" t="n">
        <v>0.005</v>
      </c>
    </row>
    <row r="129">
      <c r="A129" s="4">
        <f> Total Supply</f>
        <v/>
      </c>
      <c r="B129" s="12" t="inlineStr">
        <is>
          <t>Formula: Beg+Prod+Imp</t>
        </is>
      </c>
      <c r="C129" s="15">
        <f>SUM(C126:C128)</f>
        <v/>
      </c>
      <c r="D129" s="15">
        <f>SUM(D126:D128)</f>
        <v/>
      </c>
      <c r="E129" s="15">
        <f>SUM(E126:E128)</f>
        <v/>
      </c>
      <c r="F129" s="15">
        <f>SUM(F126:F128)</f>
        <v/>
      </c>
      <c r="G129" s="15">
        <f>SUM(G126:G128)</f>
        <v/>
      </c>
      <c r="H129" s="15">
        <f>SUM(H126:H128)</f>
        <v/>
      </c>
      <c r="I129" s="15">
        <f>SUM(I126:I128)</f>
        <v/>
      </c>
      <c r="J129" s="15">
        <f>SUM(J126:J128)</f>
        <v/>
      </c>
      <c r="K129" s="15">
        <f>SUM(K126:K128)</f>
        <v/>
      </c>
      <c r="L129" s="15">
        <f>SUM(L126:L128)</f>
        <v/>
      </c>
      <c r="M129" s="15">
        <f>SUM(M126:M128)</f>
        <v/>
      </c>
      <c r="N129" s="15">
        <f>SUM(N126:N128)</f>
        <v/>
      </c>
    </row>
    <row r="130">
      <c r="A130" s="5" t="inlineStr">
        <is>
          <t>Crush (Oilseeds)</t>
        </is>
      </c>
      <c r="B130" s="12" t="inlineStr">
        <is>
          <t>MMT</t>
        </is>
      </c>
      <c r="C130" s="14" t="n">
        <v>0.325</v>
      </c>
      <c r="D130" s="14" t="n">
        <v>0.18</v>
      </c>
      <c r="E130" s="14" t="n">
        <v>0.145</v>
      </c>
      <c r="F130" s="14" t="n">
        <v>0.36</v>
      </c>
      <c r="G130" s="14" t="n">
        <v>0.45</v>
      </c>
      <c r="H130" s="14" t="n">
        <v>0.3</v>
      </c>
      <c r="I130" s="14" t="n">
        <v>0.4</v>
      </c>
      <c r="J130" s="14" t="n">
        <v>0.183</v>
      </c>
      <c r="K130" s="14" t="n">
        <v>1.05</v>
      </c>
      <c r="L130" s="14" t="n">
        <v>0.6</v>
      </c>
      <c r="M130" s="14" t="n">
        <v>1.4</v>
      </c>
      <c r="N130" s="14" t="n">
        <v>1.7</v>
      </c>
    </row>
    <row r="131">
      <c r="A131" s="5" t="inlineStr">
        <is>
          <t>Feed &amp; Residual</t>
        </is>
      </c>
      <c r="B131" s="12" t="inlineStr">
        <is>
          <t>MMT</t>
        </is>
      </c>
      <c r="C131" s="14" t="n">
        <v>0.002</v>
      </c>
      <c r="D131" s="14" t="n">
        <v>0.002</v>
      </c>
      <c r="E131" s="14" t="n">
        <v>0.002</v>
      </c>
      <c r="F131" s="14" t="n">
        <v>0.004</v>
      </c>
      <c r="G131" s="14" t="n">
        <v>0.004</v>
      </c>
      <c r="H131" s="14" t="n">
        <v>0.004</v>
      </c>
      <c r="I131" s="14" t="n">
        <v>0.005</v>
      </c>
      <c r="J131" s="14" t="n">
        <v>0.004</v>
      </c>
      <c r="K131" s="14" t="n">
        <v>0.005</v>
      </c>
      <c r="L131" s="14" t="n">
        <v>0.005</v>
      </c>
      <c r="M131" s="14" t="n">
        <v>0.005</v>
      </c>
      <c r="N131" s="14" t="n">
        <v>0.005</v>
      </c>
    </row>
    <row r="132">
      <c r="A132" s="5" t="inlineStr">
        <is>
          <t>FSI / Food &amp; Industrial</t>
        </is>
      </c>
      <c r="B132" s="12" t="inlineStr">
        <is>
          <t>MMT</t>
        </is>
      </c>
      <c r="C132" s="14" t="n">
        <v>0</v>
      </c>
      <c r="D132" s="14" t="n">
        <v>0</v>
      </c>
      <c r="E132" s="14" t="n">
        <v>0</v>
      </c>
      <c r="F132" s="14" t="n">
        <v>0</v>
      </c>
      <c r="G132" s="14" t="n">
        <v>0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</row>
    <row r="133">
      <c r="A133" s="5" t="inlineStr">
        <is>
          <t>Total Domestic Consumption</t>
        </is>
      </c>
      <c r="B133" s="12" t="inlineStr">
        <is>
          <t>MMT</t>
        </is>
      </c>
      <c r="C133" s="14" t="n">
        <v>0.327</v>
      </c>
      <c r="D133" s="14" t="n">
        <v>0.182</v>
      </c>
      <c r="E133" s="14" t="n">
        <v>0.147</v>
      </c>
      <c r="F133" s="14" t="n">
        <v>0.364</v>
      </c>
      <c r="G133" s="14" t="n">
        <v>0.454</v>
      </c>
      <c r="H133" s="14" t="n">
        <v>0.304</v>
      </c>
      <c r="I133" s="14" t="n">
        <v>0.405</v>
      </c>
      <c r="J133" s="14" t="n">
        <v>0.187</v>
      </c>
      <c r="K133" s="14" t="n">
        <v>1.055</v>
      </c>
      <c r="L133" s="14" t="n">
        <v>0.605</v>
      </c>
      <c r="M133" s="14" t="n">
        <v>1.405</v>
      </c>
      <c r="N133" s="14" t="n">
        <v>1.705</v>
      </c>
    </row>
    <row r="134">
      <c r="A134" s="5" t="inlineStr">
        <is>
          <t>Exports (MY)</t>
        </is>
      </c>
      <c r="B134" s="12" t="inlineStr">
        <is>
          <t>MMT</t>
        </is>
      </c>
      <c r="C134" s="14" t="n">
        <v>1.437</v>
      </c>
      <c r="D134" s="14" t="n">
        <v>1.033</v>
      </c>
      <c r="E134" s="14" t="n">
        <v>2.118</v>
      </c>
      <c r="F134" s="14" t="n">
        <v>2.493</v>
      </c>
      <c r="G134" s="14" t="n">
        <v>2.996</v>
      </c>
      <c r="H134" s="14" t="n">
        <v>2.396</v>
      </c>
      <c r="I134" s="14" t="n">
        <v>2.703</v>
      </c>
      <c r="J134" s="14" t="n">
        <v>3.421</v>
      </c>
      <c r="K134" s="14" t="n">
        <v>3.702</v>
      </c>
      <c r="L134" s="14" t="n">
        <v>3.145</v>
      </c>
      <c r="M134" s="14" t="n">
        <v>1.903</v>
      </c>
      <c r="N134" s="14" t="n">
        <v>2.6</v>
      </c>
    </row>
    <row r="135">
      <c r="A135" s="4">
        <f> Total Disappearance</f>
        <v/>
      </c>
      <c r="B135" s="12" t="inlineStr">
        <is>
          <t>Formula: Dom+Exp</t>
        </is>
      </c>
      <c r="C135" s="15">
        <f>C133+C134</f>
        <v/>
      </c>
      <c r="D135" s="15">
        <f>D133+D134</f>
        <v/>
      </c>
      <c r="E135" s="15">
        <f>E133+E134</f>
        <v/>
      </c>
      <c r="F135" s="15">
        <f>F133+F134</f>
        <v/>
      </c>
      <c r="G135" s="15">
        <f>G133+G134</f>
        <v/>
      </c>
      <c r="H135" s="15">
        <f>H133+H134</f>
        <v/>
      </c>
      <c r="I135" s="15">
        <f>I133+I134</f>
        <v/>
      </c>
      <c r="J135" s="15">
        <f>J133+J134</f>
        <v/>
      </c>
      <c r="K135" s="15">
        <f>K133+K134</f>
        <v/>
      </c>
      <c r="L135" s="15">
        <f>L133+L134</f>
        <v/>
      </c>
      <c r="M135" s="15">
        <f>M133+M134</f>
        <v/>
      </c>
      <c r="N135" s="15">
        <f>N133+N134</f>
        <v/>
      </c>
    </row>
    <row r="136">
      <c r="A136" s="4" t="inlineStr">
        <is>
          <t>Ending Stocks</t>
        </is>
      </c>
      <c r="B136" s="12" t="inlineStr">
        <is>
          <t>MMT</t>
        </is>
      </c>
      <c r="C136" s="16" t="n">
        <v>0</v>
      </c>
      <c r="D136" s="16" t="n">
        <v>0.041</v>
      </c>
      <c r="E136" s="16" t="n">
        <v>0.003</v>
      </c>
      <c r="F136" s="16" t="n">
        <v>0.004</v>
      </c>
      <c r="G136" s="16" t="n">
        <v>0.029</v>
      </c>
      <c r="H136" s="16" t="n">
        <v>0.151</v>
      </c>
      <c r="I136" s="16" t="n">
        <v>0.07000000000000001</v>
      </c>
      <c r="J136" s="16" t="n">
        <v>0.002</v>
      </c>
      <c r="K136" s="16" t="n">
        <v>0.002</v>
      </c>
      <c r="L136" s="16" t="n">
        <v>0.057</v>
      </c>
      <c r="M136" s="16" t="n">
        <v>0.253</v>
      </c>
      <c r="N136" s="16" t="n">
        <v>0.303</v>
      </c>
    </row>
    <row r="137">
      <c r="A137" s="4" t="inlineStr">
        <is>
          <t>Stocks-to-Use Ratio (%)</t>
        </is>
      </c>
      <c r="B137" s="12" t="inlineStr">
        <is>
          <t>Formula: End/TotUse</t>
        </is>
      </c>
      <c r="C137" s="17">
        <f>IF(C135&gt;0, C136/C135, 0)</f>
        <v/>
      </c>
      <c r="D137" s="17">
        <f>IF(D135&gt;0, D136/D135, 0)</f>
        <v/>
      </c>
      <c r="E137" s="17">
        <f>IF(E135&gt;0, E136/E135, 0)</f>
        <v/>
      </c>
      <c r="F137" s="17">
        <f>IF(F135&gt;0, F136/F135, 0)</f>
        <v/>
      </c>
      <c r="G137" s="17">
        <f>IF(G135&gt;0, G136/G135, 0)</f>
        <v/>
      </c>
      <c r="H137" s="17">
        <f>IF(H135&gt;0, H136/H135, 0)</f>
        <v/>
      </c>
      <c r="I137" s="17">
        <f>IF(I135&gt;0, I136/I135, 0)</f>
        <v/>
      </c>
      <c r="J137" s="17">
        <f>IF(J135&gt;0, J136/J135, 0)</f>
        <v/>
      </c>
      <c r="K137" s="17">
        <f>IF(K135&gt;0, K136/K135, 0)</f>
        <v/>
      </c>
      <c r="L137" s="17">
        <f>IF(L135&gt;0, L136/L135, 0)</f>
        <v/>
      </c>
      <c r="M137" s="17">
        <f>IF(M135&gt;0, M136/M135, 0)</f>
        <v/>
      </c>
      <c r="N137" s="17">
        <f>IF(N135&gt;0, N136/N135, 0)</f>
        <v/>
      </c>
    </row>
    <row r="140">
      <c r="A140" s="10" t="inlineStr">
        <is>
          <t>UA — SOYBEANS BALANCE SHEET (MMT)</t>
        </is>
      </c>
      <c r="B140" s="11" t="inlineStr">
        <is>
          <t>Unit / Formula</t>
        </is>
      </c>
      <c r="C140" s="11" t="inlineStr">
        <is>
          <t>2015/16</t>
        </is>
      </c>
      <c r="D140" s="11" t="inlineStr">
        <is>
          <t>2016/17</t>
        </is>
      </c>
      <c r="E140" s="11" t="inlineStr">
        <is>
          <t>2017/18</t>
        </is>
      </c>
      <c r="F140" s="11" t="inlineStr">
        <is>
          <t>2018/19</t>
        </is>
      </c>
      <c r="G140" s="11" t="inlineStr">
        <is>
          <t>2019/20</t>
        </is>
      </c>
      <c r="H140" s="11" t="inlineStr">
        <is>
          <t>2020/21</t>
        </is>
      </c>
      <c r="I140" s="11" t="inlineStr">
        <is>
          <t>2021/22</t>
        </is>
      </c>
      <c r="J140" s="11" t="inlineStr">
        <is>
          <t>2022/23</t>
        </is>
      </c>
      <c r="K140" s="11" t="inlineStr">
        <is>
          <t>2023/24</t>
        </is>
      </c>
      <c r="L140" s="11" t="inlineStr">
        <is>
          <t>2024/25</t>
        </is>
      </c>
      <c r="M140" s="11" t="inlineStr">
        <is>
          <t>2025/26</t>
        </is>
      </c>
      <c r="N140" s="11" t="inlineStr">
        <is>
          <t>2026/27</t>
        </is>
      </c>
    </row>
    <row r="141">
      <c r="A141" s="5" t="inlineStr">
        <is>
          <t>Area Harvested</t>
        </is>
      </c>
      <c r="B141" s="12" t="inlineStr">
        <is>
          <t>Million Ha (Mha)</t>
        </is>
      </c>
      <c r="C141" s="13" t="n">
        <v>2.137</v>
      </c>
      <c r="D141" s="13" t="n">
        <v>1.858</v>
      </c>
      <c r="E141" s="13" t="n">
        <v>2.02</v>
      </c>
      <c r="F141" s="13" t="n">
        <v>1.875</v>
      </c>
      <c r="G141" s="13" t="n">
        <v>1.963</v>
      </c>
      <c r="H141" s="13" t="n">
        <v>1.46</v>
      </c>
      <c r="I141" s="13" t="n">
        <v>1.44</v>
      </c>
      <c r="J141" s="13" t="n">
        <v>1.82</v>
      </c>
      <c r="K141" s="13" t="n">
        <v>2</v>
      </c>
      <c r="L141" s="13" t="n">
        <v>3</v>
      </c>
      <c r="M141" s="13" t="n">
        <v>2.3</v>
      </c>
      <c r="N141" s="13" t="n">
        <v>2</v>
      </c>
    </row>
    <row r="142">
      <c r="A142" s="5" t="inlineStr">
        <is>
          <t>Yield</t>
        </is>
      </c>
      <c r="B142" s="12" t="inlineStr">
        <is>
          <t>MT / Ha</t>
        </is>
      </c>
      <c r="C142" s="13" t="n">
        <v>1.84</v>
      </c>
      <c r="D142" s="13" t="n">
        <v>2.31</v>
      </c>
      <c r="E142" s="13" t="n">
        <v>1.97</v>
      </c>
      <c r="F142" s="13" t="n">
        <v>2.58</v>
      </c>
      <c r="G142" s="13" t="n">
        <v>2.29</v>
      </c>
      <c r="H142" s="13" t="n">
        <v>2.05</v>
      </c>
      <c r="I142" s="13" t="n">
        <v>2.64</v>
      </c>
      <c r="J142" s="13" t="n">
        <v>2.25</v>
      </c>
      <c r="K142" s="13" t="n">
        <v>2.6</v>
      </c>
      <c r="L142" s="13" t="n">
        <v>2.4</v>
      </c>
      <c r="M142" s="13" t="n">
        <v>2.39</v>
      </c>
      <c r="N142" s="13" t="n">
        <v>2.5</v>
      </c>
    </row>
    <row r="143">
      <c r="A143" s="4" t="inlineStr">
        <is>
          <t>Beginning Stocks</t>
        </is>
      </c>
      <c r="B143" s="12" t="inlineStr">
        <is>
          <t>MMT</t>
        </is>
      </c>
      <c r="C143" s="14" t="n">
        <v>0.166</v>
      </c>
      <c r="D143" s="14" t="n">
        <v>0.113</v>
      </c>
      <c r="E143" s="14" t="n">
        <v>0.151</v>
      </c>
      <c r="F143" s="14" t="n">
        <v>0.076</v>
      </c>
      <c r="G143" s="14" t="n">
        <v>0.223</v>
      </c>
      <c r="H143" s="14" t="n">
        <v>0.092</v>
      </c>
      <c r="I143" s="14" t="n">
        <v>0.102</v>
      </c>
      <c r="J143" s="14" t="n">
        <v>1.017</v>
      </c>
      <c r="K143" s="14" t="n">
        <v>0.321</v>
      </c>
      <c r="L143" s="14" t="n">
        <v>0.26</v>
      </c>
      <c r="M143" s="14" t="n">
        <v>0.213</v>
      </c>
      <c r="N143" s="14" t="n">
        <v>0.36</v>
      </c>
    </row>
    <row r="144">
      <c r="A144" s="5" t="inlineStr">
        <is>
          <t>Production (Harvest)</t>
        </is>
      </c>
      <c r="B144" s="12" t="inlineStr">
        <is>
          <t>MMT</t>
        </is>
      </c>
      <c r="C144" s="14" t="n">
        <v>3.932</v>
      </c>
      <c r="D144" s="14" t="n">
        <v>4.286</v>
      </c>
      <c r="E144" s="14" t="n">
        <v>3.985</v>
      </c>
      <c r="F144" s="14" t="n">
        <v>4.831</v>
      </c>
      <c r="G144" s="14" t="n">
        <v>4.499</v>
      </c>
      <c r="H144" s="14" t="n">
        <v>3</v>
      </c>
      <c r="I144" s="14" t="n">
        <v>3.8</v>
      </c>
      <c r="J144" s="14" t="n">
        <v>4.1</v>
      </c>
      <c r="K144" s="14" t="n">
        <v>5.2</v>
      </c>
      <c r="L144" s="14" t="n">
        <v>7.2</v>
      </c>
      <c r="M144" s="14" t="n">
        <v>5.5</v>
      </c>
      <c r="N144" s="14" t="n">
        <v>5</v>
      </c>
    </row>
    <row r="145">
      <c r="A145" s="5" t="inlineStr">
        <is>
          <t>Imports</t>
        </is>
      </c>
      <c r="B145" s="12" t="inlineStr">
        <is>
          <t>MMT</t>
        </is>
      </c>
      <c r="C145" s="14" t="n">
        <v>0.005</v>
      </c>
      <c r="D145" s="14" t="n">
        <v>0.007</v>
      </c>
      <c r="E145" s="14" t="n">
        <v>0.008</v>
      </c>
      <c r="F145" s="14" t="n">
        <v>0.003</v>
      </c>
      <c r="G145" s="14" t="n">
        <v>0.024</v>
      </c>
      <c r="H145" s="14" t="n">
        <v>0.002</v>
      </c>
      <c r="I145" s="14" t="n">
        <v>0.001</v>
      </c>
      <c r="J145" s="14" t="n">
        <v>0.002</v>
      </c>
      <c r="K145" s="14" t="n">
        <v>0.001</v>
      </c>
      <c r="L145" s="14" t="n">
        <v>0.001</v>
      </c>
      <c r="M145" s="14" t="n">
        <v>0.001</v>
      </c>
      <c r="N145" s="14" t="n">
        <v>0.001</v>
      </c>
    </row>
    <row r="146">
      <c r="A146" s="4">
        <f> Total Supply</f>
        <v/>
      </c>
      <c r="B146" s="12" t="inlineStr">
        <is>
          <t>Formula: Beg+Prod+Imp</t>
        </is>
      </c>
      <c r="C146" s="15">
        <f>SUM(C143:C145)</f>
        <v/>
      </c>
      <c r="D146" s="15">
        <f>SUM(D143:D145)</f>
        <v/>
      </c>
      <c r="E146" s="15">
        <f>SUM(E143:E145)</f>
        <v/>
      </c>
      <c r="F146" s="15">
        <f>SUM(F143:F145)</f>
        <v/>
      </c>
      <c r="G146" s="15">
        <f>SUM(G143:G145)</f>
        <v/>
      </c>
      <c r="H146" s="15">
        <f>SUM(H143:H145)</f>
        <v/>
      </c>
      <c r="I146" s="15">
        <f>SUM(I143:I145)</f>
        <v/>
      </c>
      <c r="J146" s="15">
        <f>SUM(J143:J145)</f>
        <v/>
      </c>
      <c r="K146" s="15">
        <f>SUM(K143:K145)</f>
        <v/>
      </c>
      <c r="L146" s="15">
        <f>SUM(L143:L145)</f>
        <v/>
      </c>
      <c r="M146" s="15">
        <f>SUM(M143:M145)</f>
        <v/>
      </c>
      <c r="N146" s="15">
        <f>SUM(N143:N145)</f>
        <v/>
      </c>
    </row>
    <row r="147">
      <c r="A147" s="5" t="inlineStr">
        <is>
          <t>Crush (Oilseeds)</t>
        </is>
      </c>
      <c r="B147" s="12" t="inlineStr">
        <is>
          <t>MMT</t>
        </is>
      </c>
      <c r="C147" s="14" t="n">
        <v>0.95</v>
      </c>
      <c r="D147" s="14" t="n">
        <v>0.8</v>
      </c>
      <c r="E147" s="14" t="n">
        <v>1.06</v>
      </c>
      <c r="F147" s="14" t="n">
        <v>1.88</v>
      </c>
      <c r="G147" s="14" t="n">
        <v>1.85</v>
      </c>
      <c r="H147" s="14" t="n">
        <v>1.35</v>
      </c>
      <c r="I147" s="14" t="n">
        <v>1.3</v>
      </c>
      <c r="J147" s="14" t="n">
        <v>1.5</v>
      </c>
      <c r="K147" s="14" t="n">
        <v>1.8</v>
      </c>
      <c r="L147" s="14" t="n">
        <v>2.8</v>
      </c>
      <c r="M147" s="14" t="n">
        <v>2.9</v>
      </c>
      <c r="N147" s="14" t="n">
        <v>2.6</v>
      </c>
    </row>
    <row r="148">
      <c r="A148" s="5" t="inlineStr">
        <is>
          <t>Feed &amp; Residual</t>
        </is>
      </c>
      <c r="B148" s="12" t="inlineStr">
        <is>
          <t>MMT</t>
        </is>
      </c>
      <c r="C148" s="14" t="n">
        <v>0.67</v>
      </c>
      <c r="D148" s="14" t="n">
        <v>0.55</v>
      </c>
      <c r="E148" s="14" t="n">
        <v>0.25</v>
      </c>
      <c r="F148" s="14" t="n">
        <v>0.275</v>
      </c>
      <c r="G148" s="14" t="n">
        <v>0.17</v>
      </c>
      <c r="H148" s="14" t="n">
        <v>0.175</v>
      </c>
      <c r="I148" s="14" t="n">
        <v>0.2</v>
      </c>
      <c r="J148" s="14" t="n">
        <v>0.2</v>
      </c>
      <c r="K148" s="14" t="n">
        <v>0.2</v>
      </c>
      <c r="L148" s="14" t="n">
        <v>0.275</v>
      </c>
      <c r="M148" s="14" t="n">
        <v>0.275</v>
      </c>
      <c r="N148" s="14" t="n">
        <v>0.25</v>
      </c>
    </row>
    <row r="149">
      <c r="A149" s="5" t="inlineStr">
        <is>
          <t>FSI / Food &amp; Industrial</t>
        </is>
      </c>
      <c r="B149" s="12" t="inlineStr">
        <is>
          <t>MMT</t>
        </is>
      </c>
      <c r="C149" s="14" t="n">
        <v>0.001</v>
      </c>
      <c r="D149" s="14" t="n">
        <v>0.001</v>
      </c>
      <c r="E149" s="14" t="n">
        <v>0.001</v>
      </c>
      <c r="F149" s="14" t="n">
        <v>0.001</v>
      </c>
      <c r="G149" s="14" t="n">
        <v>0.001</v>
      </c>
      <c r="H149" s="14" t="n">
        <v>0.001</v>
      </c>
      <c r="I149" s="14" t="n">
        <v>0.001</v>
      </c>
      <c r="J149" s="14" t="n">
        <v>0.001</v>
      </c>
      <c r="K149" s="14" t="n">
        <v>0</v>
      </c>
      <c r="L149" s="14" t="n">
        <v>0</v>
      </c>
      <c r="M149" s="14" t="n">
        <v>0</v>
      </c>
      <c r="N149" s="14" t="n">
        <v>0</v>
      </c>
    </row>
    <row r="150">
      <c r="A150" s="5" t="inlineStr">
        <is>
          <t>Total Domestic Consumption</t>
        </is>
      </c>
      <c r="B150" s="12" t="inlineStr">
        <is>
          <t>MMT</t>
        </is>
      </c>
      <c r="C150" s="14" t="n">
        <v>1.621</v>
      </c>
      <c r="D150" s="14" t="n">
        <v>1.351</v>
      </c>
      <c r="E150" s="14" t="n">
        <v>1.311</v>
      </c>
      <c r="F150" s="14" t="n">
        <v>2.156</v>
      </c>
      <c r="G150" s="14" t="n">
        <v>2.021</v>
      </c>
      <c r="H150" s="14" t="n">
        <v>1.526</v>
      </c>
      <c r="I150" s="14" t="n">
        <v>1.501</v>
      </c>
      <c r="J150" s="14" t="n">
        <v>1.701</v>
      </c>
      <c r="K150" s="14" t="n">
        <v>2</v>
      </c>
      <c r="L150" s="14" t="n">
        <v>3.075</v>
      </c>
      <c r="M150" s="14" t="n">
        <v>3.175</v>
      </c>
      <c r="N150" s="14" t="n">
        <v>2.85</v>
      </c>
    </row>
    <row r="151">
      <c r="A151" s="5" t="inlineStr">
        <is>
          <t>Exports (MY)</t>
        </is>
      </c>
      <c r="B151" s="12" t="inlineStr">
        <is>
          <t>MMT</t>
        </is>
      </c>
      <c r="C151" s="14" t="n">
        <v>2.369</v>
      </c>
      <c r="D151" s="14" t="n">
        <v>2.904</v>
      </c>
      <c r="E151" s="14" t="n">
        <v>2.757</v>
      </c>
      <c r="F151" s="14" t="n">
        <v>2.531</v>
      </c>
      <c r="G151" s="14" t="n">
        <v>2.633</v>
      </c>
      <c r="H151" s="14" t="n">
        <v>1.466</v>
      </c>
      <c r="I151" s="14" t="n">
        <v>1.385</v>
      </c>
      <c r="J151" s="14" t="n">
        <v>3.097</v>
      </c>
      <c r="K151" s="14" t="n">
        <v>3.262</v>
      </c>
      <c r="L151" s="14" t="n">
        <v>4.173</v>
      </c>
      <c r="M151" s="14" t="n">
        <v>2.179</v>
      </c>
      <c r="N151" s="14" t="n">
        <v>2.25</v>
      </c>
    </row>
    <row r="152">
      <c r="A152" s="4">
        <f> Total Disappearance</f>
        <v/>
      </c>
      <c r="B152" s="12" t="inlineStr">
        <is>
          <t>Formula: Dom+Exp</t>
        </is>
      </c>
      <c r="C152" s="15">
        <f>C150+C151</f>
        <v/>
      </c>
      <c r="D152" s="15">
        <f>D150+D151</f>
        <v/>
      </c>
      <c r="E152" s="15">
        <f>E150+E151</f>
        <v/>
      </c>
      <c r="F152" s="15">
        <f>F150+F151</f>
        <v/>
      </c>
      <c r="G152" s="15">
        <f>G150+G151</f>
        <v/>
      </c>
      <c r="H152" s="15">
        <f>H150+H151</f>
        <v/>
      </c>
      <c r="I152" s="15">
        <f>I150+I151</f>
        <v/>
      </c>
      <c r="J152" s="15">
        <f>J150+J151</f>
        <v/>
      </c>
      <c r="K152" s="15">
        <f>K150+K151</f>
        <v/>
      </c>
      <c r="L152" s="15">
        <f>L150+L151</f>
        <v/>
      </c>
      <c r="M152" s="15">
        <f>M150+M151</f>
        <v/>
      </c>
      <c r="N152" s="15">
        <f>N150+N151</f>
        <v/>
      </c>
    </row>
    <row r="153">
      <c r="A153" s="4" t="inlineStr">
        <is>
          <t>Ending Stocks</t>
        </is>
      </c>
      <c r="B153" s="12" t="inlineStr">
        <is>
          <t>MMT</t>
        </is>
      </c>
      <c r="C153" s="16" t="n">
        <v>0.113</v>
      </c>
      <c r="D153" s="16" t="n">
        <v>0.151</v>
      </c>
      <c r="E153" s="16" t="n">
        <v>0.076</v>
      </c>
      <c r="F153" s="16" t="n">
        <v>0.223</v>
      </c>
      <c r="G153" s="16" t="n">
        <v>0.092</v>
      </c>
      <c r="H153" s="16" t="n">
        <v>0.102</v>
      </c>
      <c r="I153" s="16" t="n">
        <v>1.017</v>
      </c>
      <c r="J153" s="16" t="n">
        <v>0.321</v>
      </c>
      <c r="K153" s="16" t="n">
        <v>0.26</v>
      </c>
      <c r="L153" s="16" t="n">
        <v>0.213</v>
      </c>
      <c r="M153" s="16" t="n">
        <v>0.36</v>
      </c>
      <c r="N153" s="16" t="n">
        <v>0.261</v>
      </c>
    </row>
    <row r="154">
      <c r="A154" s="4" t="inlineStr">
        <is>
          <t>Stocks-to-Use Ratio (%)</t>
        </is>
      </c>
      <c r="B154" s="12" t="inlineStr">
        <is>
          <t>Formula: End/TotUse</t>
        </is>
      </c>
      <c r="C154" s="17">
        <f>IF(C152&gt;0, C153/C152, 0)</f>
        <v/>
      </c>
      <c r="D154" s="17">
        <f>IF(D152&gt;0, D153/D152, 0)</f>
        <v/>
      </c>
      <c r="E154" s="17">
        <f>IF(E152&gt;0, E153/E152, 0)</f>
        <v/>
      </c>
      <c r="F154" s="17">
        <f>IF(F152&gt;0, F153/F152, 0)</f>
        <v/>
      </c>
      <c r="G154" s="17">
        <f>IF(G152&gt;0, G153/G152, 0)</f>
        <v/>
      </c>
      <c r="H154" s="17">
        <f>IF(H152&gt;0, H153/H152, 0)</f>
        <v/>
      </c>
      <c r="I154" s="17">
        <f>IF(I152&gt;0, I153/I152, 0)</f>
        <v/>
      </c>
      <c r="J154" s="17">
        <f>IF(J152&gt;0, J153/J152, 0)</f>
        <v/>
      </c>
      <c r="K154" s="17">
        <f>IF(K152&gt;0, K153/K152, 0)</f>
        <v/>
      </c>
      <c r="L154" s="17">
        <f>IF(L152&gt;0, L153/L152, 0)</f>
        <v/>
      </c>
      <c r="M154" s="17">
        <f>IF(M152&gt;0, M153/M152, 0)</f>
        <v/>
      </c>
      <c r="N154" s="17">
        <f>IF(N152&gt;0, N153/N152,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9" t="inlineStr">
        <is>
          <t>Kazakhstan S&amp;D (USDA PSD) — Official USDA FAS PSD Balance Sheets (Million Metric Tons, MMT)</t>
        </is>
      </c>
    </row>
    <row r="2">
      <c r="A2" s="2" t="inlineStr">
        <is>
          <t>100% Official USDA FAS PSD Data | Total Supply, Total Disappearance &amp; Stocks-to-Use % are Formula-Driven</t>
        </is>
      </c>
    </row>
    <row r="4">
      <c r="A4" s="10" t="inlineStr">
        <is>
          <t>KZ — TOTAL GRAINS BALANCE SHEET (MMT)</t>
        </is>
      </c>
      <c r="B4" s="11" t="inlineStr">
        <is>
          <t>Unit / Formula</t>
        </is>
      </c>
      <c r="C4" s="11" t="inlineStr">
        <is>
          <t>2015/16</t>
        </is>
      </c>
      <c r="D4" s="11" t="inlineStr">
        <is>
          <t>2016/17</t>
        </is>
      </c>
      <c r="E4" s="11" t="inlineStr">
        <is>
          <t>2017/18</t>
        </is>
      </c>
      <c r="F4" s="11" t="inlineStr">
        <is>
          <t>2018/19</t>
        </is>
      </c>
      <c r="G4" s="11" t="inlineStr">
        <is>
          <t>2019/20</t>
        </is>
      </c>
      <c r="H4" s="11" t="inlineStr">
        <is>
          <t>2020/21</t>
        </is>
      </c>
      <c r="I4" s="11" t="inlineStr">
        <is>
          <t>2021/22</t>
        </is>
      </c>
      <c r="J4" s="11" t="inlineStr">
        <is>
          <t>2022/23</t>
        </is>
      </c>
      <c r="K4" s="11" t="inlineStr">
        <is>
          <t>2023/24</t>
        </is>
      </c>
      <c r="L4" s="11" t="inlineStr">
        <is>
          <t>2024/25</t>
        </is>
      </c>
      <c r="M4" s="11" t="inlineStr">
        <is>
          <t>2025/26</t>
        </is>
      </c>
      <c r="N4" s="11" t="inlineStr">
        <is>
          <t>2026/27</t>
        </is>
      </c>
    </row>
    <row r="5">
      <c r="A5" s="5" t="inlineStr">
        <is>
          <t>Area Harvested</t>
        </is>
      </c>
      <c r="B5" s="12" t="inlineStr">
        <is>
          <t>Million Ha (Mha)</t>
        </is>
      </c>
      <c r="C5" s="13" t="n">
        <v>13.747</v>
      </c>
      <c r="D5" s="13" t="n">
        <v>14.401</v>
      </c>
      <c r="E5" s="13" t="n">
        <v>14.118</v>
      </c>
      <c r="F5" s="13" t="n">
        <v>14.02</v>
      </c>
      <c r="G5" s="13" t="n">
        <v>14.43</v>
      </c>
      <c r="H5" s="13" t="n">
        <v>14.949</v>
      </c>
      <c r="I5" s="13" t="n">
        <v>15.065</v>
      </c>
      <c r="J5" s="13" t="n">
        <v>15.175</v>
      </c>
      <c r="K5" s="13" t="n">
        <v>15.745</v>
      </c>
      <c r="L5" s="13" t="n">
        <v>15.512</v>
      </c>
      <c r="M5" s="13" t="n">
        <v>14.653</v>
      </c>
      <c r="N5" s="13" t="n">
        <v>14.225</v>
      </c>
    </row>
    <row r="6">
      <c r="A6" s="5" t="inlineStr">
        <is>
          <t>Yield</t>
        </is>
      </c>
      <c r="B6" s="12" t="inlineStr">
        <is>
          <t>MT / Ha</t>
        </is>
      </c>
      <c r="C6" s="13" t="n">
        <v>1.25</v>
      </c>
      <c r="D6" s="13" t="n">
        <v>1.32</v>
      </c>
      <c r="E6" s="13" t="n">
        <v>1.34</v>
      </c>
      <c r="F6" s="13" t="n">
        <v>1.34</v>
      </c>
      <c r="G6" s="13" t="n">
        <v>1.12</v>
      </c>
      <c r="H6" s="13" t="n">
        <v>1.26</v>
      </c>
      <c r="I6" s="13" t="n">
        <v>1.02</v>
      </c>
      <c r="J6" s="13" t="n">
        <v>1.37</v>
      </c>
      <c r="K6" s="13" t="n">
        <v>1.01</v>
      </c>
      <c r="L6" s="13" t="n">
        <v>1.51</v>
      </c>
      <c r="M6" s="13" t="n">
        <v>1.63</v>
      </c>
      <c r="N6" s="13" t="n">
        <v>1.44</v>
      </c>
    </row>
    <row r="7">
      <c r="A7" s="4" t="inlineStr">
        <is>
          <t>Beginning Stocks</t>
        </is>
      </c>
      <c r="B7" s="12" t="inlineStr">
        <is>
          <t>MMT</t>
        </is>
      </c>
      <c r="C7" s="14" t="n">
        <v>3.693</v>
      </c>
      <c r="D7" s="14" t="n">
        <v>3.14</v>
      </c>
      <c r="E7" s="14" t="n">
        <v>4.268</v>
      </c>
      <c r="F7" s="14" t="n">
        <v>3.089</v>
      </c>
      <c r="G7" s="14" t="n">
        <v>2.22</v>
      </c>
      <c r="H7" s="14" t="n">
        <v>1.294</v>
      </c>
      <c r="I7" s="14" t="n">
        <v>2.239</v>
      </c>
      <c r="J7" s="14" t="n">
        <v>1.941</v>
      </c>
      <c r="K7" s="14" t="n">
        <v>4.782</v>
      </c>
      <c r="L7" s="14" t="n">
        <v>3.79</v>
      </c>
      <c r="M7" s="14" t="n">
        <v>3.629</v>
      </c>
      <c r="N7" s="14" t="n">
        <v>3.51</v>
      </c>
    </row>
    <row r="8">
      <c r="A8" s="5" t="inlineStr">
        <is>
          <t>Production (Harvest)</t>
        </is>
      </c>
      <c r="B8" s="12" t="inlineStr">
        <is>
          <t>MMT</t>
        </is>
      </c>
      <c r="C8" s="14" t="n">
        <v>17.157</v>
      </c>
      <c r="D8" s="14" t="n">
        <v>18.978</v>
      </c>
      <c r="E8" s="14" t="n">
        <v>18.892</v>
      </c>
      <c r="F8" s="14" t="n">
        <v>18.78</v>
      </c>
      <c r="G8" s="14" t="n">
        <v>16.178</v>
      </c>
      <c r="H8" s="14" t="n">
        <v>18.873</v>
      </c>
      <c r="I8" s="14" t="n">
        <v>15.311</v>
      </c>
      <c r="J8" s="14" t="n">
        <v>20.789</v>
      </c>
      <c r="K8" s="14" t="n">
        <v>15.914</v>
      </c>
      <c r="L8" s="14" t="n">
        <v>23.422</v>
      </c>
      <c r="M8" s="14" t="n">
        <v>23.92</v>
      </c>
      <c r="N8" s="14" t="n">
        <v>20.5</v>
      </c>
    </row>
    <row r="9">
      <c r="A9" s="5" t="inlineStr">
        <is>
          <t>Imports</t>
        </is>
      </c>
      <c r="B9" s="12" t="inlineStr">
        <is>
          <t>MMT</t>
        </is>
      </c>
      <c r="C9" s="14" t="n">
        <v>0.082</v>
      </c>
      <c r="D9" s="14" t="n">
        <v>0.073</v>
      </c>
      <c r="E9" s="14" t="n">
        <v>0.173</v>
      </c>
      <c r="F9" s="14" t="n">
        <v>0.116</v>
      </c>
      <c r="G9" s="14" t="n">
        <v>0.631</v>
      </c>
      <c r="H9" s="14" t="n">
        <v>1.089</v>
      </c>
      <c r="I9" s="14" t="n">
        <v>2.571</v>
      </c>
      <c r="J9" s="14" t="n">
        <v>4.402</v>
      </c>
      <c r="K9" s="14" t="n">
        <v>2.823</v>
      </c>
      <c r="L9" s="14" t="n">
        <v>0.602</v>
      </c>
      <c r="M9" s="14" t="n">
        <v>1.572</v>
      </c>
      <c r="N9" s="14" t="n">
        <v>1.56</v>
      </c>
    </row>
    <row r="10">
      <c r="A10" s="4">
        <f> Total Supply</f>
        <v/>
      </c>
      <c r="B10" s="12" t="inlineStr">
        <is>
          <t>Formula: Beg+Prod+Imp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  <c r="J10" s="15">
        <f>SUM(J7:J9)</f>
        <v/>
      </c>
      <c r="K10" s="15">
        <f>SUM(K7:K9)</f>
        <v/>
      </c>
      <c r="L10" s="15">
        <f>SUM(L7:L9)</f>
        <v/>
      </c>
      <c r="M10" s="15">
        <f>SUM(M7:M9)</f>
        <v/>
      </c>
      <c r="N10" s="15">
        <f>SUM(N7:N9)</f>
        <v/>
      </c>
    </row>
    <row r="11">
      <c r="A11" s="5" t="inlineStr">
        <is>
          <t>Crush (Oilseeds)</t>
        </is>
      </c>
      <c r="B11" s="12" t="inlineStr">
        <is>
          <t>MMT</t>
        </is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</row>
    <row r="12">
      <c r="A12" s="5" t="inlineStr">
        <is>
          <t>Feed &amp; Residual</t>
        </is>
      </c>
      <c r="B12" s="12" t="inlineStr">
        <is>
          <t>MMT</t>
        </is>
      </c>
      <c r="C12" s="14" t="n">
        <v>4.35</v>
      </c>
      <c r="D12" s="14" t="n">
        <v>4.6</v>
      </c>
      <c r="E12" s="14" t="n">
        <v>4.65</v>
      </c>
      <c r="F12" s="14" t="n">
        <v>4.35</v>
      </c>
      <c r="G12" s="14" t="n">
        <v>4.1</v>
      </c>
      <c r="H12" s="14" t="n">
        <v>4.4</v>
      </c>
      <c r="I12" s="14" t="n">
        <v>4.275</v>
      </c>
      <c r="J12" s="14" t="n">
        <v>4.825</v>
      </c>
      <c r="K12" s="14" t="n">
        <v>5.05</v>
      </c>
      <c r="L12" s="14" t="n">
        <v>6.15</v>
      </c>
      <c r="M12" s="14" t="n">
        <v>7</v>
      </c>
      <c r="N12" s="14" t="n">
        <v>5.95</v>
      </c>
    </row>
    <row r="13">
      <c r="A13" s="5" t="inlineStr">
        <is>
          <t>FSI / Food &amp; Industrial</t>
        </is>
      </c>
      <c r="B13" s="12" t="inlineStr">
        <is>
          <t>MMT</t>
        </is>
      </c>
      <c r="C13" s="14" t="n">
        <v>5.2</v>
      </c>
      <c r="D13" s="14" t="n">
        <v>5.21</v>
      </c>
      <c r="E13" s="14" t="n">
        <v>5.21</v>
      </c>
      <c r="F13" s="14" t="n">
        <v>5.21</v>
      </c>
      <c r="G13" s="14" t="n">
        <v>5.21</v>
      </c>
      <c r="H13" s="14" t="n">
        <v>5.27</v>
      </c>
      <c r="I13" s="14" t="n">
        <v>5.28</v>
      </c>
      <c r="J13" s="14" t="n">
        <v>5.47</v>
      </c>
      <c r="K13" s="14" t="n">
        <v>5.47</v>
      </c>
      <c r="L13" s="14" t="n">
        <v>5.52</v>
      </c>
      <c r="M13" s="14" t="n">
        <v>5.575</v>
      </c>
      <c r="N13" s="14" t="n">
        <v>5.625</v>
      </c>
    </row>
    <row r="14">
      <c r="A14" s="5" t="inlineStr">
        <is>
          <t>Total Domestic Consumption</t>
        </is>
      </c>
      <c r="B14" s="12" t="inlineStr">
        <is>
          <t>MMT</t>
        </is>
      </c>
      <c r="C14" s="14" t="n">
        <v>9.550000000000001</v>
      </c>
      <c r="D14" s="14" t="n">
        <v>9.81</v>
      </c>
      <c r="E14" s="14" t="n">
        <v>9.859999999999999</v>
      </c>
      <c r="F14" s="14" t="n">
        <v>9.56</v>
      </c>
      <c r="G14" s="14" t="n">
        <v>9.31</v>
      </c>
      <c r="H14" s="14" t="n">
        <v>9.67</v>
      </c>
      <c r="I14" s="14" t="n">
        <v>9.555</v>
      </c>
      <c r="J14" s="14" t="n">
        <v>10.295</v>
      </c>
      <c r="K14" s="14" t="n">
        <v>10.52</v>
      </c>
      <c r="L14" s="14" t="n">
        <v>11.67</v>
      </c>
      <c r="M14" s="14" t="n">
        <v>12.575</v>
      </c>
      <c r="N14" s="14" t="n">
        <v>11.575</v>
      </c>
    </row>
    <row r="15">
      <c r="A15" s="5" t="inlineStr">
        <is>
          <t>Exports (MY)</t>
        </is>
      </c>
      <c r="B15" s="12" t="inlineStr">
        <is>
          <t>MMT</t>
        </is>
      </c>
      <c r="C15" s="14" t="n">
        <v>8.242000000000001</v>
      </c>
      <c r="D15" s="14" t="n">
        <v>8.113</v>
      </c>
      <c r="E15" s="14" t="n">
        <v>10.384</v>
      </c>
      <c r="F15" s="14" t="n">
        <v>10.205</v>
      </c>
      <c r="G15" s="14" t="n">
        <v>8.425000000000001</v>
      </c>
      <c r="H15" s="14" t="n">
        <v>9.347</v>
      </c>
      <c r="I15" s="14" t="n">
        <v>8.625</v>
      </c>
      <c r="J15" s="14" t="n">
        <v>12.055</v>
      </c>
      <c r="K15" s="14" t="n">
        <v>9.209</v>
      </c>
      <c r="L15" s="14" t="n">
        <v>12.515</v>
      </c>
      <c r="M15" s="14" t="n">
        <v>13.036</v>
      </c>
      <c r="N15" s="14" t="n">
        <v>11.225</v>
      </c>
    </row>
    <row r="16">
      <c r="A16" s="4">
        <f> Total Disappearance</f>
        <v/>
      </c>
      <c r="B16" s="12" t="inlineStr">
        <is>
          <t>Formula: Dom+Exp</t>
        </is>
      </c>
      <c r="C16" s="15">
        <f>C14+C15</f>
        <v/>
      </c>
      <c r="D16" s="15">
        <f>D14+D15</f>
        <v/>
      </c>
      <c r="E16" s="15">
        <f>E14+E15</f>
        <v/>
      </c>
      <c r="F16" s="15">
        <f>F14+F15</f>
        <v/>
      </c>
      <c r="G16" s="15">
        <f>G14+G15</f>
        <v/>
      </c>
      <c r="H16" s="15">
        <f>H14+H15</f>
        <v/>
      </c>
      <c r="I16" s="15">
        <f>I14+I15</f>
        <v/>
      </c>
      <c r="J16" s="15">
        <f>J14+J15</f>
        <v/>
      </c>
      <c r="K16" s="15">
        <f>K14+K15</f>
        <v/>
      </c>
      <c r="L16" s="15">
        <f>L14+L15</f>
        <v/>
      </c>
      <c r="M16" s="15">
        <f>M14+M15</f>
        <v/>
      </c>
      <c r="N16" s="15">
        <f>N14+N15</f>
        <v/>
      </c>
    </row>
    <row r="17">
      <c r="A17" s="4" t="inlineStr">
        <is>
          <t>Ending Stocks</t>
        </is>
      </c>
      <c r="B17" s="12" t="inlineStr">
        <is>
          <t>MMT</t>
        </is>
      </c>
      <c r="C17" s="16" t="n">
        <v>3.14</v>
      </c>
      <c r="D17" s="16" t="n">
        <v>4.268</v>
      </c>
      <c r="E17" s="16" t="n">
        <v>3.089</v>
      </c>
      <c r="F17" s="16" t="n">
        <v>2.22</v>
      </c>
      <c r="G17" s="16" t="n">
        <v>1.294</v>
      </c>
      <c r="H17" s="16" t="n">
        <v>2.239</v>
      </c>
      <c r="I17" s="16" t="n">
        <v>1.941</v>
      </c>
      <c r="J17" s="16" t="n">
        <v>4.782</v>
      </c>
      <c r="K17" s="16" t="n">
        <v>3.79</v>
      </c>
      <c r="L17" s="16" t="n">
        <v>3.629</v>
      </c>
      <c r="M17" s="16" t="n">
        <v>3.51</v>
      </c>
      <c r="N17" s="16" t="n">
        <v>2.77</v>
      </c>
    </row>
    <row r="18">
      <c r="A18" s="4" t="inlineStr">
        <is>
          <t>Stocks-to-Use Ratio (%)</t>
        </is>
      </c>
      <c r="B18" s="12" t="inlineStr">
        <is>
          <t>Formula: End/TotUse</t>
        </is>
      </c>
      <c r="C18" s="17">
        <f>IF(C16&gt;0, C17/C16, 0)</f>
        <v/>
      </c>
      <c r="D18" s="17">
        <f>IF(D16&gt;0, D17/D16, 0)</f>
        <v/>
      </c>
      <c r="E18" s="17">
        <f>IF(E16&gt;0, E17/E16, 0)</f>
        <v/>
      </c>
      <c r="F18" s="17">
        <f>IF(F16&gt;0, F17/F16, 0)</f>
        <v/>
      </c>
      <c r="G18" s="17">
        <f>IF(G16&gt;0, G17/G16, 0)</f>
        <v/>
      </c>
      <c r="H18" s="17">
        <f>IF(H16&gt;0, H17/H16, 0)</f>
        <v/>
      </c>
      <c r="I18" s="17">
        <f>IF(I16&gt;0, I17/I16, 0)</f>
        <v/>
      </c>
      <c r="J18" s="17">
        <f>IF(J16&gt;0, J17/J16, 0)</f>
        <v/>
      </c>
      <c r="K18" s="17">
        <f>IF(K16&gt;0, K17/K16, 0)</f>
        <v/>
      </c>
      <c r="L18" s="17">
        <f>IF(L16&gt;0, L17/L16, 0)</f>
        <v/>
      </c>
      <c r="M18" s="17">
        <f>IF(M16&gt;0, M17/M16, 0)</f>
        <v/>
      </c>
      <c r="N18" s="17">
        <f>IF(N16&gt;0, N17/N16, 0)</f>
        <v/>
      </c>
    </row>
    <row r="21">
      <c r="A21" s="10" t="inlineStr">
        <is>
          <t>KZ — WHEAT BALANCE SHEET (MMT)</t>
        </is>
      </c>
      <c r="B21" s="11" t="inlineStr">
        <is>
          <t>Unit / Formula</t>
        </is>
      </c>
      <c r="C21" s="11" t="inlineStr">
        <is>
          <t>2015/16</t>
        </is>
      </c>
      <c r="D21" s="11" t="inlineStr">
        <is>
          <t>2016/17</t>
        </is>
      </c>
      <c r="E21" s="11" t="inlineStr">
        <is>
          <t>2017/18</t>
        </is>
      </c>
      <c r="F21" s="11" t="inlineStr">
        <is>
          <t>2018/19</t>
        </is>
      </c>
      <c r="G21" s="11" t="inlineStr">
        <is>
          <t>2019/20</t>
        </is>
      </c>
      <c r="H21" s="11" t="inlineStr">
        <is>
          <t>2020/21</t>
        </is>
      </c>
      <c r="I21" s="11" t="inlineStr">
        <is>
          <t>2021/22</t>
        </is>
      </c>
      <c r="J21" s="11" t="inlineStr">
        <is>
          <t>2022/23</t>
        </is>
      </c>
      <c r="K21" s="11" t="inlineStr">
        <is>
          <t>2023/24</t>
        </is>
      </c>
      <c r="L21" s="11" t="inlineStr">
        <is>
          <t>2024/25</t>
        </is>
      </c>
      <c r="M21" s="11" t="inlineStr">
        <is>
          <t>2025/26</t>
        </is>
      </c>
      <c r="N21" s="11" t="inlineStr">
        <is>
          <t>2026/27</t>
        </is>
      </c>
    </row>
    <row r="22">
      <c r="A22" s="5" t="inlineStr">
        <is>
          <t>Area Harvested</t>
        </is>
      </c>
      <c r="B22" s="12" t="inlineStr">
        <is>
          <t>Million Ha (Mha)</t>
        </is>
      </c>
      <c r="C22" s="13" t="n">
        <v>11.571</v>
      </c>
      <c r="D22" s="13" t="n">
        <v>12.373</v>
      </c>
      <c r="E22" s="13" t="n">
        <v>11.912</v>
      </c>
      <c r="F22" s="13" t="n">
        <v>11.354</v>
      </c>
      <c r="G22" s="13" t="n">
        <v>11.297</v>
      </c>
      <c r="H22" s="13" t="n">
        <v>12.057</v>
      </c>
      <c r="I22" s="13" t="n">
        <v>12.719</v>
      </c>
      <c r="J22" s="13" t="n">
        <v>12.811</v>
      </c>
      <c r="K22" s="13" t="n">
        <v>13.13</v>
      </c>
      <c r="L22" s="13" t="n">
        <v>13.067</v>
      </c>
      <c r="M22" s="13" t="n">
        <v>12.195</v>
      </c>
      <c r="N22" s="13" t="n">
        <v>11.3</v>
      </c>
    </row>
    <row r="23">
      <c r="A23" s="5" t="inlineStr">
        <is>
          <t>Yield</t>
        </is>
      </c>
      <c r="B23" s="12" t="inlineStr">
        <is>
          <t>MT / Ha</t>
        </is>
      </c>
      <c r="C23" s="13" t="n">
        <v>1.19</v>
      </c>
      <c r="D23" s="13" t="n">
        <v>1.21</v>
      </c>
      <c r="E23" s="13" t="n">
        <v>1.24</v>
      </c>
      <c r="F23" s="13" t="n">
        <v>1.23</v>
      </c>
      <c r="G23" s="13" t="n">
        <v>1.01</v>
      </c>
      <c r="H23" s="13" t="n">
        <v>1.18</v>
      </c>
      <c r="I23" s="13" t="n">
        <v>0.93</v>
      </c>
      <c r="J23" s="13" t="n">
        <v>1.28</v>
      </c>
      <c r="K23" s="13" t="n">
        <v>0.92</v>
      </c>
      <c r="L23" s="13" t="n">
        <v>1.42</v>
      </c>
      <c r="M23" s="13" t="n">
        <v>1.58</v>
      </c>
      <c r="N23" s="13" t="n">
        <v>1.33</v>
      </c>
    </row>
    <row r="24">
      <c r="A24" s="4" t="inlineStr">
        <is>
          <t>Beginning Stocks</t>
        </is>
      </c>
      <c r="B24" s="12" t="inlineStr">
        <is>
          <t>MMT</t>
        </is>
      </c>
      <c r="C24" s="14" t="n">
        <v>3.284</v>
      </c>
      <c r="D24" s="14" t="n">
        <v>2.79</v>
      </c>
      <c r="E24" s="14" t="n">
        <v>3.537</v>
      </c>
      <c r="F24" s="14" t="n">
        <v>2.581</v>
      </c>
      <c r="G24" s="14" t="n">
        <v>1.713</v>
      </c>
      <c r="H24" s="14" t="n">
        <v>0.663</v>
      </c>
      <c r="I24" s="14" t="n">
        <v>1.475</v>
      </c>
      <c r="J24" s="14" t="n">
        <v>1.479</v>
      </c>
      <c r="K24" s="14" t="n">
        <v>4.209</v>
      </c>
      <c r="L24" s="14" t="n">
        <v>3.445</v>
      </c>
      <c r="M24" s="14" t="n">
        <v>3.328</v>
      </c>
      <c r="N24" s="14" t="n">
        <v>3.004</v>
      </c>
    </row>
    <row r="25">
      <c r="A25" s="5" t="inlineStr">
        <is>
          <t>Production (Harvest)</t>
        </is>
      </c>
      <c r="B25" s="12" t="inlineStr">
        <is>
          <t>MMT</t>
        </is>
      </c>
      <c r="C25" s="14" t="n">
        <v>13.748</v>
      </c>
      <c r="D25" s="14" t="n">
        <v>14.985</v>
      </c>
      <c r="E25" s="14" t="n">
        <v>14.802</v>
      </c>
      <c r="F25" s="14" t="n">
        <v>13.947</v>
      </c>
      <c r="G25" s="14" t="n">
        <v>11.452</v>
      </c>
      <c r="H25" s="14" t="n">
        <v>14.256</v>
      </c>
      <c r="I25" s="14" t="n">
        <v>11.814</v>
      </c>
      <c r="J25" s="14" t="n">
        <v>16.404</v>
      </c>
      <c r="K25" s="14" t="n">
        <v>12.111</v>
      </c>
      <c r="L25" s="14" t="n">
        <v>18.577</v>
      </c>
      <c r="M25" s="14" t="n">
        <v>19.326</v>
      </c>
      <c r="N25" s="14" t="n">
        <v>15</v>
      </c>
    </row>
    <row r="26">
      <c r="A26" s="5" t="inlineStr">
        <is>
          <t>Imports</t>
        </is>
      </c>
      <c r="B26" s="12" t="inlineStr">
        <is>
          <t>MMT</t>
        </is>
      </c>
      <c r="C26" s="14" t="n">
        <v>0.07199999999999999</v>
      </c>
      <c r="D26" s="14" t="n">
        <v>0.07099999999999999</v>
      </c>
      <c r="E26" s="14" t="n">
        <v>0.142</v>
      </c>
      <c r="F26" s="14" t="n">
        <v>0.081</v>
      </c>
      <c r="G26" s="14" t="n">
        <v>0.584</v>
      </c>
      <c r="H26" s="14" t="n">
        <v>1</v>
      </c>
      <c r="I26" s="14" t="n">
        <v>2.5</v>
      </c>
      <c r="J26" s="14" t="n">
        <v>4</v>
      </c>
      <c r="K26" s="14" t="n">
        <v>2.5</v>
      </c>
      <c r="L26" s="14" t="n">
        <v>0.5</v>
      </c>
      <c r="M26" s="14" t="n">
        <v>1.4</v>
      </c>
      <c r="N26" s="14" t="n">
        <v>1.5</v>
      </c>
    </row>
    <row r="27">
      <c r="A27" s="4">
        <f> Total Supply</f>
        <v/>
      </c>
      <c r="B27" s="12" t="inlineStr">
        <is>
          <t>Formula: Beg+Prod+Imp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  <c r="J27" s="15">
        <f>SUM(J24:J26)</f>
        <v/>
      </c>
      <c r="K27" s="15">
        <f>SUM(K24:K26)</f>
        <v/>
      </c>
      <c r="L27" s="15">
        <f>SUM(L24:L26)</f>
        <v/>
      </c>
      <c r="M27" s="15">
        <f>SUM(M24:M26)</f>
        <v/>
      </c>
      <c r="N27" s="15">
        <f>SUM(N24:N26)</f>
        <v/>
      </c>
    </row>
    <row r="28">
      <c r="A28" s="5" t="inlineStr">
        <is>
          <t>Crush (Oilseeds)</t>
        </is>
      </c>
      <c r="B28" s="12" t="inlineStr">
        <is>
          <t>MMT</t>
        </is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</row>
    <row r="29">
      <c r="A29" s="5" t="inlineStr">
        <is>
          <t>Feed &amp; Residual</t>
        </is>
      </c>
      <c r="B29" s="12" t="inlineStr">
        <is>
          <t>MMT</t>
        </is>
      </c>
      <c r="C29" s="14" t="n">
        <v>2.1</v>
      </c>
      <c r="D29" s="14" t="n">
        <v>2.1</v>
      </c>
      <c r="E29" s="14" t="n">
        <v>2.1</v>
      </c>
      <c r="F29" s="14" t="n">
        <v>1.8</v>
      </c>
      <c r="G29" s="14" t="n">
        <v>1.3</v>
      </c>
      <c r="H29" s="14" t="n">
        <v>1.45</v>
      </c>
      <c r="I29" s="14" t="n">
        <v>1.35</v>
      </c>
      <c r="J29" s="14" t="n">
        <v>1.8</v>
      </c>
      <c r="K29" s="14" t="n">
        <v>2.5</v>
      </c>
      <c r="L29" s="14" t="n">
        <v>3.9</v>
      </c>
      <c r="M29" s="14" t="n">
        <v>4.4</v>
      </c>
      <c r="N29" s="14" t="n">
        <v>2.8</v>
      </c>
    </row>
    <row r="30">
      <c r="A30" s="5" t="inlineStr">
        <is>
          <t>FSI / Food &amp; Industrial</t>
        </is>
      </c>
      <c r="B30" s="12" t="inlineStr">
        <is>
          <t>MMT</t>
        </is>
      </c>
      <c r="C30" s="14" t="n">
        <v>4.8</v>
      </c>
      <c r="D30" s="14" t="n">
        <v>4.8</v>
      </c>
      <c r="E30" s="14" t="n">
        <v>4.8</v>
      </c>
      <c r="F30" s="14" t="n">
        <v>4.8</v>
      </c>
      <c r="G30" s="14" t="n">
        <v>4.8</v>
      </c>
      <c r="H30" s="14" t="n">
        <v>4.8</v>
      </c>
      <c r="I30" s="14" t="n">
        <v>4.85</v>
      </c>
      <c r="J30" s="14" t="n">
        <v>5</v>
      </c>
      <c r="K30" s="14" t="n">
        <v>5.05</v>
      </c>
      <c r="L30" s="14" t="n">
        <v>5.1</v>
      </c>
      <c r="M30" s="14" t="n">
        <v>5.15</v>
      </c>
      <c r="N30" s="14" t="n">
        <v>5.175</v>
      </c>
    </row>
    <row r="31">
      <c r="A31" s="5" t="inlineStr">
        <is>
          <t>Total Domestic Consumption</t>
        </is>
      </c>
      <c r="B31" s="12" t="inlineStr">
        <is>
          <t>MMT</t>
        </is>
      </c>
      <c r="C31" s="14" t="n">
        <v>6.9</v>
      </c>
      <c r="D31" s="14" t="n">
        <v>6.9</v>
      </c>
      <c r="E31" s="14" t="n">
        <v>6.9</v>
      </c>
      <c r="F31" s="14" t="n">
        <v>6.6</v>
      </c>
      <c r="G31" s="14" t="n">
        <v>6.1</v>
      </c>
      <c r="H31" s="14" t="n">
        <v>6.25</v>
      </c>
      <c r="I31" s="14" t="n">
        <v>6.2</v>
      </c>
      <c r="J31" s="14" t="n">
        <v>6.8</v>
      </c>
      <c r="K31" s="14" t="n">
        <v>7.55</v>
      </c>
      <c r="L31" s="14" t="n">
        <v>9</v>
      </c>
      <c r="M31" s="14" t="n">
        <v>9.550000000000001</v>
      </c>
      <c r="N31" s="14" t="n">
        <v>7.975</v>
      </c>
    </row>
    <row r="32">
      <c r="A32" s="5" t="inlineStr">
        <is>
          <t>Exports (MY)</t>
        </is>
      </c>
      <c r="B32" s="12" t="inlineStr">
        <is>
          <t>MMT</t>
        </is>
      </c>
      <c r="C32" s="14" t="n">
        <v>7.414</v>
      </c>
      <c r="D32" s="14" t="n">
        <v>7.409</v>
      </c>
      <c r="E32" s="14" t="n">
        <v>9</v>
      </c>
      <c r="F32" s="14" t="n">
        <v>8.295999999999999</v>
      </c>
      <c r="G32" s="14" t="n">
        <v>6.986</v>
      </c>
      <c r="H32" s="14" t="n">
        <v>8.194000000000001</v>
      </c>
      <c r="I32" s="14" t="n">
        <v>8.109999999999999</v>
      </c>
      <c r="J32" s="14" t="n">
        <v>10.874</v>
      </c>
      <c r="K32" s="14" t="n">
        <v>7.825</v>
      </c>
      <c r="L32" s="14" t="n">
        <v>10.194</v>
      </c>
      <c r="M32" s="14" t="n">
        <v>11.5</v>
      </c>
      <c r="N32" s="14" t="n">
        <v>9.5</v>
      </c>
    </row>
    <row r="33">
      <c r="A33" s="4">
        <f> Total Disappearance</f>
        <v/>
      </c>
      <c r="B33" s="12" t="inlineStr">
        <is>
          <t>Formula: Dom+Exp</t>
        </is>
      </c>
      <c r="C33" s="15">
        <f>C31+C32</f>
        <v/>
      </c>
      <c r="D33" s="15">
        <f>D31+D32</f>
        <v/>
      </c>
      <c r="E33" s="15">
        <f>E31+E32</f>
        <v/>
      </c>
      <c r="F33" s="15">
        <f>F31+F32</f>
        <v/>
      </c>
      <c r="G33" s="15">
        <f>G31+G32</f>
        <v/>
      </c>
      <c r="H33" s="15">
        <f>H31+H32</f>
        <v/>
      </c>
      <c r="I33" s="15">
        <f>I31+I32</f>
        <v/>
      </c>
      <c r="J33" s="15">
        <f>J31+J32</f>
        <v/>
      </c>
      <c r="K33" s="15">
        <f>K31+K32</f>
        <v/>
      </c>
      <c r="L33" s="15">
        <f>L31+L32</f>
        <v/>
      </c>
      <c r="M33" s="15">
        <f>M31+M32</f>
        <v/>
      </c>
      <c r="N33" s="15">
        <f>N31+N32</f>
        <v/>
      </c>
    </row>
    <row r="34">
      <c r="A34" s="4" t="inlineStr">
        <is>
          <t>Ending Stocks</t>
        </is>
      </c>
      <c r="B34" s="12" t="inlineStr">
        <is>
          <t>MMT</t>
        </is>
      </c>
      <c r="C34" s="16" t="n">
        <v>2.79</v>
      </c>
      <c r="D34" s="16" t="n">
        <v>3.537</v>
      </c>
      <c r="E34" s="16" t="n">
        <v>2.581</v>
      </c>
      <c r="F34" s="16" t="n">
        <v>1.713</v>
      </c>
      <c r="G34" s="16" t="n">
        <v>0.663</v>
      </c>
      <c r="H34" s="16" t="n">
        <v>1.475</v>
      </c>
      <c r="I34" s="16" t="n">
        <v>1.479</v>
      </c>
      <c r="J34" s="16" t="n">
        <v>4.209</v>
      </c>
      <c r="K34" s="16" t="n">
        <v>3.445</v>
      </c>
      <c r="L34" s="16" t="n">
        <v>3.328</v>
      </c>
      <c r="M34" s="16" t="n">
        <v>3.004</v>
      </c>
      <c r="N34" s="16" t="n">
        <v>2.029</v>
      </c>
    </row>
    <row r="35">
      <c r="A35" s="4" t="inlineStr">
        <is>
          <t>Stocks-to-Use Ratio (%)</t>
        </is>
      </c>
      <c r="B35" s="12" t="inlineStr">
        <is>
          <t>Formula: End/TotUse</t>
        </is>
      </c>
      <c r="C35" s="17">
        <f>IF(C33&gt;0, C34/C33, 0)</f>
        <v/>
      </c>
      <c r="D35" s="17">
        <f>IF(D33&gt;0, D34/D33, 0)</f>
        <v/>
      </c>
      <c r="E35" s="17">
        <f>IF(E33&gt;0, E34/E33, 0)</f>
        <v/>
      </c>
      <c r="F35" s="17">
        <f>IF(F33&gt;0, F34/F33, 0)</f>
        <v/>
      </c>
      <c r="G35" s="17">
        <f>IF(G33&gt;0, G34/G33, 0)</f>
        <v/>
      </c>
      <c r="H35" s="17">
        <f>IF(H33&gt;0, H34/H33, 0)</f>
        <v/>
      </c>
      <c r="I35" s="17">
        <f>IF(I33&gt;0, I34/I33, 0)</f>
        <v/>
      </c>
      <c r="J35" s="17">
        <f>IF(J33&gt;0, J34/J33, 0)</f>
        <v/>
      </c>
      <c r="K35" s="17">
        <f>IF(K33&gt;0, K34/K33, 0)</f>
        <v/>
      </c>
      <c r="L35" s="17">
        <f>IF(L33&gt;0, L34/L33, 0)</f>
        <v/>
      </c>
      <c r="M35" s="17">
        <f>IF(M33&gt;0, M34/M33, 0)</f>
        <v/>
      </c>
      <c r="N35" s="17">
        <f>IF(N33&gt;0, N34/N33, 0)</f>
        <v/>
      </c>
    </row>
    <row r="38">
      <c r="A38" s="10" t="inlineStr">
        <is>
          <t>KZ — BARLEY BALANCE SHEET (MMT)</t>
        </is>
      </c>
      <c r="B38" s="11" t="inlineStr">
        <is>
          <t>Unit / Formula</t>
        </is>
      </c>
      <c r="C38" s="11" t="inlineStr">
        <is>
          <t>2015/16</t>
        </is>
      </c>
      <c r="D38" s="11" t="inlineStr">
        <is>
          <t>2016/17</t>
        </is>
      </c>
      <c r="E38" s="11" t="inlineStr">
        <is>
          <t>2017/18</t>
        </is>
      </c>
      <c r="F38" s="11" t="inlineStr">
        <is>
          <t>2018/19</t>
        </is>
      </c>
      <c r="G38" s="11" t="inlineStr">
        <is>
          <t>2019/20</t>
        </is>
      </c>
      <c r="H38" s="11" t="inlineStr">
        <is>
          <t>2020/21</t>
        </is>
      </c>
      <c r="I38" s="11" t="inlineStr">
        <is>
          <t>2021/22</t>
        </is>
      </c>
      <c r="J38" s="11" t="inlineStr">
        <is>
          <t>2022/23</t>
        </is>
      </c>
      <c r="K38" s="11" t="inlineStr">
        <is>
          <t>2023/24</t>
        </is>
      </c>
      <c r="L38" s="11" t="inlineStr">
        <is>
          <t>2024/25</t>
        </is>
      </c>
      <c r="M38" s="11" t="inlineStr">
        <is>
          <t>2025/26</t>
        </is>
      </c>
      <c r="N38" s="11" t="inlineStr">
        <is>
          <t>2026/27</t>
        </is>
      </c>
    </row>
    <row r="39">
      <c r="A39" s="5" t="inlineStr">
        <is>
          <t>Area Harvested</t>
        </is>
      </c>
      <c r="B39" s="12" t="inlineStr">
        <is>
          <t>Million Ha (Mha)</t>
        </is>
      </c>
      <c r="C39" s="13" t="n">
        <v>2.038</v>
      </c>
      <c r="D39" s="13" t="n">
        <v>1.893</v>
      </c>
      <c r="E39" s="13" t="n">
        <v>2.069</v>
      </c>
      <c r="F39" s="13" t="n">
        <v>2.516</v>
      </c>
      <c r="G39" s="13" t="n">
        <v>2.977</v>
      </c>
      <c r="H39" s="13" t="n">
        <v>2.729</v>
      </c>
      <c r="I39" s="13" t="n">
        <v>2.157</v>
      </c>
      <c r="J39" s="13" t="n">
        <v>2.176</v>
      </c>
      <c r="K39" s="13" t="n">
        <v>2.425</v>
      </c>
      <c r="L39" s="13" t="n">
        <v>2.283</v>
      </c>
      <c r="M39" s="13" t="n">
        <v>2.282</v>
      </c>
      <c r="N39" s="13" t="n">
        <v>2.65</v>
      </c>
    </row>
    <row r="40">
      <c r="A40" s="5" t="inlineStr">
        <is>
          <t>Yield</t>
        </is>
      </c>
      <c r="B40" s="12" t="inlineStr">
        <is>
          <t>MT / Ha</t>
        </is>
      </c>
      <c r="C40" s="13" t="n">
        <v>1.31</v>
      </c>
      <c r="D40" s="13" t="n">
        <v>1.71</v>
      </c>
      <c r="E40" s="13" t="n">
        <v>1.6</v>
      </c>
      <c r="F40" s="13" t="n">
        <v>1.58</v>
      </c>
      <c r="G40" s="13" t="n">
        <v>1.29</v>
      </c>
      <c r="H40" s="13" t="n">
        <v>1.34</v>
      </c>
      <c r="I40" s="13" t="n">
        <v>1.1</v>
      </c>
      <c r="J40" s="13" t="n">
        <v>1.51</v>
      </c>
      <c r="K40" s="13" t="n">
        <v>1.08</v>
      </c>
      <c r="L40" s="13" t="n">
        <v>1.68</v>
      </c>
      <c r="M40" s="13" t="n">
        <v>1.57</v>
      </c>
      <c r="N40" s="13" t="n">
        <v>1.45</v>
      </c>
    </row>
    <row r="41">
      <c r="A41" s="4" t="inlineStr">
        <is>
          <t>Beginning Stocks</t>
        </is>
      </c>
      <c r="B41" s="12" t="inlineStr">
        <is>
          <t>MMT</t>
        </is>
      </c>
      <c r="C41" s="14" t="n">
        <v>0.304</v>
      </c>
      <c r="D41" s="14" t="n">
        <v>0.18</v>
      </c>
      <c r="E41" s="14" t="n">
        <v>0.531</v>
      </c>
      <c r="F41" s="14" t="n">
        <v>0.37</v>
      </c>
      <c r="G41" s="14" t="n">
        <v>0.403</v>
      </c>
      <c r="H41" s="14" t="n">
        <v>0.505</v>
      </c>
      <c r="I41" s="14" t="n">
        <v>0.612</v>
      </c>
      <c r="J41" s="14" t="n">
        <v>0.313</v>
      </c>
      <c r="K41" s="14" t="n">
        <v>0.413</v>
      </c>
      <c r="L41" s="14" t="n">
        <v>0.202</v>
      </c>
      <c r="M41" s="14" t="n">
        <v>0.203</v>
      </c>
      <c r="N41" s="14" t="n">
        <v>0.382</v>
      </c>
    </row>
    <row r="42">
      <c r="A42" s="5" t="inlineStr">
        <is>
          <t>Production (Harvest)</t>
        </is>
      </c>
      <c r="B42" s="12" t="inlineStr">
        <is>
          <t>MMT</t>
        </is>
      </c>
      <c r="C42" s="14" t="n">
        <v>2.675</v>
      </c>
      <c r="D42" s="14" t="n">
        <v>3.231</v>
      </c>
      <c r="E42" s="14" t="n">
        <v>3.305</v>
      </c>
      <c r="F42" s="14" t="n">
        <v>3.971</v>
      </c>
      <c r="G42" s="14" t="n">
        <v>3.83</v>
      </c>
      <c r="H42" s="14" t="n">
        <v>3.659</v>
      </c>
      <c r="I42" s="14" t="n">
        <v>2.367</v>
      </c>
      <c r="J42" s="14" t="n">
        <v>3.287</v>
      </c>
      <c r="K42" s="14" t="n">
        <v>2.614</v>
      </c>
      <c r="L42" s="14" t="n">
        <v>3.84</v>
      </c>
      <c r="M42" s="14" t="n">
        <v>3.593</v>
      </c>
      <c r="N42" s="14" t="n">
        <v>3.85</v>
      </c>
    </row>
    <row r="43">
      <c r="A43" s="5" t="inlineStr">
        <is>
          <t>Imports</t>
        </is>
      </c>
      <c r="B43" s="12" t="inlineStr">
        <is>
          <t>MMT</t>
        </is>
      </c>
      <c r="C43" s="14" t="n">
        <v>0.005</v>
      </c>
      <c r="D43" s="14" t="n">
        <v>0.002</v>
      </c>
      <c r="E43" s="14" t="n">
        <v>0.031</v>
      </c>
      <c r="F43" s="14" t="n">
        <v>0.032</v>
      </c>
      <c r="G43" s="14" t="n">
        <v>0.038</v>
      </c>
      <c r="H43" s="14" t="n">
        <v>0.083</v>
      </c>
      <c r="I43" s="14" t="n">
        <v>0.061</v>
      </c>
      <c r="J43" s="14" t="n">
        <v>0.376</v>
      </c>
      <c r="K43" s="14" t="n">
        <v>0.3</v>
      </c>
      <c r="L43" s="14" t="n">
        <v>0.091</v>
      </c>
      <c r="M43" s="14" t="n">
        <v>0.145</v>
      </c>
      <c r="N43" s="14" t="n">
        <v>0.05</v>
      </c>
    </row>
    <row r="44">
      <c r="A44" s="4">
        <f> Total Supply</f>
        <v/>
      </c>
      <c r="B44" s="12" t="inlineStr">
        <is>
          <t>Formula: Beg+Prod+Imp</t>
        </is>
      </c>
      <c r="C44" s="15">
        <f>SUM(C41:C43)</f>
        <v/>
      </c>
      <c r="D44" s="15">
        <f>SUM(D41:D43)</f>
        <v/>
      </c>
      <c r="E44" s="15">
        <f>SUM(E41:E43)</f>
        <v/>
      </c>
      <c r="F44" s="15">
        <f>SUM(F41:F43)</f>
        <v/>
      </c>
      <c r="G44" s="15">
        <f>SUM(G41:G43)</f>
        <v/>
      </c>
      <c r="H44" s="15">
        <f>SUM(H41:H43)</f>
        <v/>
      </c>
      <c r="I44" s="15">
        <f>SUM(I41:I43)</f>
        <v/>
      </c>
      <c r="J44" s="15">
        <f>SUM(J41:J43)</f>
        <v/>
      </c>
      <c r="K44" s="15">
        <f>SUM(K41:K43)</f>
        <v/>
      </c>
      <c r="L44" s="15">
        <f>SUM(L41:L43)</f>
        <v/>
      </c>
      <c r="M44" s="15">
        <f>SUM(M41:M43)</f>
        <v/>
      </c>
      <c r="N44" s="15">
        <f>SUM(N41:N43)</f>
        <v/>
      </c>
    </row>
    <row r="45">
      <c r="A45" s="5" t="inlineStr">
        <is>
          <t>Crush (Oilseeds)</t>
        </is>
      </c>
      <c r="B45" s="12" t="inlineStr">
        <is>
          <t>MMT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</row>
    <row r="46">
      <c r="A46" s="5" t="inlineStr">
        <is>
          <t>Feed &amp; Residual</t>
        </is>
      </c>
      <c r="B46" s="12" t="inlineStr">
        <is>
          <t>MMT</t>
        </is>
      </c>
      <c r="C46" s="14" t="n">
        <v>1.7</v>
      </c>
      <c r="D46" s="14" t="n">
        <v>1.9</v>
      </c>
      <c r="E46" s="14" t="n">
        <v>1.85</v>
      </c>
      <c r="F46" s="14" t="n">
        <v>1.85</v>
      </c>
      <c r="G46" s="14" t="n">
        <v>2.1</v>
      </c>
      <c r="H46" s="14" t="n">
        <v>2.2</v>
      </c>
      <c r="I46" s="14" t="n">
        <v>2</v>
      </c>
      <c r="J46" s="14" t="n">
        <v>2.1</v>
      </c>
      <c r="K46" s="14" t="n">
        <v>1.6</v>
      </c>
      <c r="L46" s="14" t="n">
        <v>1.5</v>
      </c>
      <c r="M46" s="14" t="n">
        <v>1.9</v>
      </c>
      <c r="N46" s="14" t="n">
        <v>2</v>
      </c>
    </row>
    <row r="47">
      <c r="A47" s="5" t="inlineStr">
        <is>
          <t>FSI / Food &amp; Industrial</t>
        </is>
      </c>
      <c r="B47" s="12" t="inlineStr">
        <is>
          <t>MMT</t>
        </is>
      </c>
      <c r="C47" s="14" t="n">
        <v>0.3</v>
      </c>
      <c r="D47" s="14" t="n">
        <v>0.3</v>
      </c>
      <c r="E47" s="14" t="n">
        <v>0.3</v>
      </c>
      <c r="F47" s="14" t="n">
        <v>0.3</v>
      </c>
      <c r="G47" s="14" t="n">
        <v>0.3</v>
      </c>
      <c r="H47" s="14" t="n">
        <v>0.35</v>
      </c>
      <c r="I47" s="14" t="n">
        <v>0.3</v>
      </c>
      <c r="J47" s="14" t="n">
        <v>0.35</v>
      </c>
      <c r="K47" s="14" t="n">
        <v>0.3</v>
      </c>
      <c r="L47" s="14" t="n">
        <v>0.3</v>
      </c>
      <c r="M47" s="14" t="n">
        <v>0.3</v>
      </c>
      <c r="N47" s="14" t="n">
        <v>0.3</v>
      </c>
    </row>
    <row r="48">
      <c r="A48" s="5" t="inlineStr">
        <is>
          <t>Total Domestic Consumption</t>
        </is>
      </c>
      <c r="B48" s="12" t="inlineStr">
        <is>
          <t>MMT</t>
        </is>
      </c>
      <c r="C48" s="14" t="n">
        <v>2</v>
      </c>
      <c r="D48" s="14" t="n">
        <v>2.2</v>
      </c>
      <c r="E48" s="14" t="n">
        <v>2.15</v>
      </c>
      <c r="F48" s="14" t="n">
        <v>2.15</v>
      </c>
      <c r="G48" s="14" t="n">
        <v>2.4</v>
      </c>
      <c r="H48" s="14" t="n">
        <v>2.55</v>
      </c>
      <c r="I48" s="14" t="n">
        <v>2.3</v>
      </c>
      <c r="J48" s="14" t="n">
        <v>2.45</v>
      </c>
      <c r="K48" s="14" t="n">
        <v>1.9</v>
      </c>
      <c r="L48" s="14" t="n">
        <v>1.8</v>
      </c>
      <c r="M48" s="14" t="n">
        <v>2.2</v>
      </c>
      <c r="N48" s="14" t="n">
        <v>2.3</v>
      </c>
    </row>
    <row r="49">
      <c r="A49" s="5" t="inlineStr">
        <is>
          <t>Exports (MY)</t>
        </is>
      </c>
      <c r="B49" s="12" t="inlineStr">
        <is>
          <t>MMT</t>
        </is>
      </c>
      <c r="C49" s="14" t="n">
        <v>0.804</v>
      </c>
      <c r="D49" s="14" t="n">
        <v>0.6820000000000001</v>
      </c>
      <c r="E49" s="14" t="n">
        <v>1.347</v>
      </c>
      <c r="F49" s="14" t="n">
        <v>1.82</v>
      </c>
      <c r="G49" s="14" t="n">
        <v>1.366</v>
      </c>
      <c r="H49" s="14" t="n">
        <v>1.085</v>
      </c>
      <c r="I49" s="14" t="n">
        <v>0.427</v>
      </c>
      <c r="J49" s="14" t="n">
        <v>1.113</v>
      </c>
      <c r="K49" s="14" t="n">
        <v>1.225</v>
      </c>
      <c r="L49" s="14" t="n">
        <v>2.13</v>
      </c>
      <c r="M49" s="14" t="n">
        <v>1.359</v>
      </c>
      <c r="N49" s="14" t="n">
        <v>1.5</v>
      </c>
    </row>
    <row r="50">
      <c r="A50" s="4">
        <f> Total Disappearance</f>
        <v/>
      </c>
      <c r="B50" s="12" t="inlineStr">
        <is>
          <t>Formula: Dom+Exp</t>
        </is>
      </c>
      <c r="C50" s="15">
        <f>C48+C49</f>
        <v/>
      </c>
      <c r="D50" s="15">
        <f>D48+D49</f>
        <v/>
      </c>
      <c r="E50" s="15">
        <f>E48+E49</f>
        <v/>
      </c>
      <c r="F50" s="15">
        <f>F48+F49</f>
        <v/>
      </c>
      <c r="G50" s="15">
        <f>G48+G49</f>
        <v/>
      </c>
      <c r="H50" s="15">
        <f>H48+H49</f>
        <v/>
      </c>
      <c r="I50" s="15">
        <f>I48+I49</f>
        <v/>
      </c>
      <c r="J50" s="15">
        <f>J48+J49</f>
        <v/>
      </c>
      <c r="K50" s="15">
        <f>K48+K49</f>
        <v/>
      </c>
      <c r="L50" s="15">
        <f>L48+L49</f>
        <v/>
      </c>
      <c r="M50" s="15">
        <f>M48+M49</f>
        <v/>
      </c>
      <c r="N50" s="15">
        <f>N48+N49</f>
        <v/>
      </c>
    </row>
    <row r="51">
      <c r="A51" s="4" t="inlineStr">
        <is>
          <t>Ending Stocks</t>
        </is>
      </c>
      <c r="B51" s="12" t="inlineStr">
        <is>
          <t>MMT</t>
        </is>
      </c>
      <c r="C51" s="16" t="n">
        <v>0.18</v>
      </c>
      <c r="D51" s="16" t="n">
        <v>0.531</v>
      </c>
      <c r="E51" s="16" t="n">
        <v>0.37</v>
      </c>
      <c r="F51" s="16" t="n">
        <v>0.403</v>
      </c>
      <c r="G51" s="16" t="n">
        <v>0.505</v>
      </c>
      <c r="H51" s="16" t="n">
        <v>0.612</v>
      </c>
      <c r="I51" s="16" t="n">
        <v>0.313</v>
      </c>
      <c r="J51" s="16" t="n">
        <v>0.413</v>
      </c>
      <c r="K51" s="16" t="n">
        <v>0.202</v>
      </c>
      <c r="L51" s="16" t="n">
        <v>0.203</v>
      </c>
      <c r="M51" s="16" t="n">
        <v>0.382</v>
      </c>
      <c r="N51" s="16" t="n">
        <v>0.482</v>
      </c>
    </row>
    <row r="52">
      <c r="A52" s="4" t="inlineStr">
        <is>
          <t>Stocks-to-Use Ratio (%)</t>
        </is>
      </c>
      <c r="B52" s="12" t="inlineStr">
        <is>
          <t>Formula: End/TotUse</t>
        </is>
      </c>
      <c r="C52" s="17">
        <f>IF(C50&gt;0, C51/C50, 0)</f>
        <v/>
      </c>
      <c r="D52" s="17">
        <f>IF(D50&gt;0, D51/D50, 0)</f>
        <v/>
      </c>
      <c r="E52" s="17">
        <f>IF(E50&gt;0, E51/E50, 0)</f>
        <v/>
      </c>
      <c r="F52" s="17">
        <f>IF(F50&gt;0, F51/F50, 0)</f>
        <v/>
      </c>
      <c r="G52" s="17">
        <f>IF(G50&gt;0, G51/G50, 0)</f>
        <v/>
      </c>
      <c r="H52" s="17">
        <f>IF(H50&gt;0, H51/H50, 0)</f>
        <v/>
      </c>
      <c r="I52" s="17">
        <f>IF(I50&gt;0, I51/I50, 0)</f>
        <v/>
      </c>
      <c r="J52" s="17">
        <f>IF(J50&gt;0, J51/J50, 0)</f>
        <v/>
      </c>
      <c r="K52" s="17">
        <f>IF(K50&gt;0, K51/K50, 0)</f>
        <v/>
      </c>
      <c r="L52" s="17">
        <f>IF(L50&gt;0, L51/L50, 0)</f>
        <v/>
      </c>
      <c r="M52" s="17">
        <f>IF(M50&gt;0, M51/M50, 0)</f>
        <v/>
      </c>
      <c r="N52" s="17">
        <f>IF(N50&gt;0, N51/N50, 0)</f>
        <v/>
      </c>
    </row>
    <row r="55">
      <c r="A55" s="10" t="inlineStr">
        <is>
          <t>KZ — SUNFLOWERSEED BALANCE SHEET (MMT)</t>
        </is>
      </c>
      <c r="B55" s="11" t="inlineStr">
        <is>
          <t>Unit / Formula</t>
        </is>
      </c>
      <c r="C55" s="11" t="inlineStr">
        <is>
          <t>2015/16</t>
        </is>
      </c>
      <c r="D55" s="11" t="inlineStr">
        <is>
          <t>2016/17</t>
        </is>
      </c>
      <c r="E55" s="11" t="inlineStr">
        <is>
          <t>2017/18</t>
        </is>
      </c>
      <c r="F55" s="11" t="inlineStr">
        <is>
          <t>2018/19</t>
        </is>
      </c>
      <c r="G55" s="11" t="inlineStr">
        <is>
          <t>2019/20</t>
        </is>
      </c>
      <c r="H55" s="11" t="inlineStr">
        <is>
          <t>2020/21</t>
        </is>
      </c>
      <c r="I55" s="11" t="inlineStr">
        <is>
          <t>2021/22</t>
        </is>
      </c>
      <c r="J55" s="11" t="inlineStr">
        <is>
          <t>2022/23</t>
        </is>
      </c>
      <c r="K55" s="11" t="inlineStr">
        <is>
          <t>2023/24</t>
        </is>
      </c>
      <c r="L55" s="11" t="inlineStr">
        <is>
          <t>2024/25</t>
        </is>
      </c>
      <c r="M55" s="11" t="inlineStr">
        <is>
          <t>2025/26</t>
        </is>
      </c>
      <c r="N55" s="11" t="inlineStr">
        <is>
          <t>2026/27</t>
        </is>
      </c>
    </row>
    <row r="56">
      <c r="A56" s="5" t="inlineStr">
        <is>
          <t>Area Harvested</t>
        </is>
      </c>
      <c r="B56" s="12" t="inlineStr">
        <is>
          <t>Million Ha (Mha)</t>
        </is>
      </c>
      <c r="C56" s="13" t="n">
        <v>0.701</v>
      </c>
      <c r="D56" s="13" t="n">
        <v>0.8070000000000001</v>
      </c>
      <c r="E56" s="13" t="n">
        <v>0.883</v>
      </c>
      <c r="F56" s="13" t="n">
        <v>0.85</v>
      </c>
      <c r="G56" s="13" t="n">
        <v>0.8149999999999999</v>
      </c>
      <c r="H56" s="13" t="n">
        <v>0.75</v>
      </c>
      <c r="I56" s="13" t="n">
        <v>0.9399999999999999</v>
      </c>
      <c r="J56" s="13" t="n">
        <v>1.09</v>
      </c>
      <c r="K56" s="13" t="n">
        <v>1.127</v>
      </c>
      <c r="L56" s="13" t="n">
        <v>1.256</v>
      </c>
      <c r="M56" s="13" t="n">
        <v>1.77</v>
      </c>
      <c r="N56" s="13" t="n">
        <v>2.2</v>
      </c>
    </row>
    <row r="57">
      <c r="A57" s="5" t="inlineStr">
        <is>
          <t>Yield</t>
        </is>
      </c>
      <c r="B57" s="12" t="inlineStr">
        <is>
          <t>MT / Ha</t>
        </is>
      </c>
      <c r="C57" s="13" t="n">
        <v>0.76</v>
      </c>
      <c r="D57" s="13" t="n">
        <v>0.9399999999999999</v>
      </c>
      <c r="E57" s="13" t="n">
        <v>1.02</v>
      </c>
      <c r="F57" s="13" t="n">
        <v>1</v>
      </c>
      <c r="G57" s="13" t="n">
        <v>1.03</v>
      </c>
      <c r="H57" s="13" t="n">
        <v>1.13</v>
      </c>
      <c r="I57" s="13" t="n">
        <v>1.1</v>
      </c>
      <c r="J57" s="13" t="n">
        <v>1.2</v>
      </c>
      <c r="K57" s="13" t="n">
        <v>1.1</v>
      </c>
      <c r="L57" s="13" t="n">
        <v>1.46</v>
      </c>
      <c r="M57" s="13" t="n">
        <v>1.39</v>
      </c>
      <c r="N57" s="13" t="n">
        <v>1.36</v>
      </c>
    </row>
    <row r="58">
      <c r="A58" s="4" t="inlineStr">
        <is>
          <t>Beginning Stocks</t>
        </is>
      </c>
      <c r="B58" s="12" t="inlineStr">
        <is>
          <t>MMT</t>
        </is>
      </c>
      <c r="C58" s="14" t="n">
        <v>0.023</v>
      </c>
      <c r="D58" s="14" t="n">
        <v>0.021</v>
      </c>
      <c r="E58" s="14" t="n">
        <v>0.022</v>
      </c>
      <c r="F58" s="14" t="n">
        <v>0.023</v>
      </c>
      <c r="G58" s="14" t="n">
        <v>0.022</v>
      </c>
      <c r="H58" s="14" t="n">
        <v>0.018</v>
      </c>
      <c r="I58" s="14" t="n">
        <v>0.025</v>
      </c>
      <c r="J58" s="14" t="n">
        <v>0.045</v>
      </c>
      <c r="K58" s="14" t="n">
        <v>0.062</v>
      </c>
      <c r="L58" s="14" t="n">
        <v>0.023</v>
      </c>
      <c r="M58" s="14" t="n">
        <v>0.04</v>
      </c>
      <c r="N58" s="14" t="n">
        <v>0.054</v>
      </c>
    </row>
    <row r="59">
      <c r="A59" s="5" t="inlineStr">
        <is>
          <t>Production (Harvest)</t>
        </is>
      </c>
      <c r="B59" s="12" t="inlineStr">
        <is>
          <t>MMT</t>
        </is>
      </c>
      <c r="C59" s="14" t="n">
        <v>0.534</v>
      </c>
      <c r="D59" s="14" t="n">
        <v>0.755</v>
      </c>
      <c r="E59" s="14" t="n">
        <v>0.903</v>
      </c>
      <c r="F59" s="14" t="n">
        <v>0.848</v>
      </c>
      <c r="G59" s="14" t="n">
        <v>0.839</v>
      </c>
      <c r="H59" s="14" t="n">
        <v>0.844</v>
      </c>
      <c r="I59" s="14" t="n">
        <v>1.032</v>
      </c>
      <c r="J59" s="14" t="n">
        <v>1.304</v>
      </c>
      <c r="K59" s="14" t="n">
        <v>1.236</v>
      </c>
      <c r="L59" s="14" t="n">
        <v>1.834</v>
      </c>
      <c r="M59" s="14" t="n">
        <v>2.464</v>
      </c>
      <c r="N59" s="14" t="n">
        <v>3</v>
      </c>
    </row>
    <row r="60">
      <c r="A60" s="5" t="inlineStr">
        <is>
          <t>Imports</t>
        </is>
      </c>
      <c r="B60" s="12" t="inlineStr">
        <is>
          <t>MMT</t>
        </is>
      </c>
      <c r="C60" s="14" t="n">
        <v>0.022</v>
      </c>
      <c r="D60" s="14" t="n">
        <v>0.011</v>
      </c>
      <c r="E60" s="14" t="n">
        <v>0.014</v>
      </c>
      <c r="F60" s="14" t="n">
        <v>0.047</v>
      </c>
      <c r="G60" s="14" t="n">
        <v>0.065</v>
      </c>
      <c r="H60" s="14" t="n">
        <v>0.044</v>
      </c>
      <c r="I60" s="14" t="n">
        <v>0.23</v>
      </c>
      <c r="J60" s="14" t="n">
        <v>0.198</v>
      </c>
      <c r="K60" s="14" t="n">
        <v>0.228</v>
      </c>
      <c r="L60" s="14" t="n">
        <v>0.139</v>
      </c>
      <c r="M60" s="14" t="n">
        <v>0.15</v>
      </c>
      <c r="N60" s="14" t="n">
        <v>0.15</v>
      </c>
    </row>
    <row r="61">
      <c r="A61" s="4">
        <f> Total Supply</f>
        <v/>
      </c>
      <c r="B61" s="12" t="inlineStr">
        <is>
          <t>Formula: Beg+Prod+Imp</t>
        </is>
      </c>
      <c r="C61" s="15">
        <f>SUM(C58:C60)</f>
        <v/>
      </c>
      <c r="D61" s="15">
        <f>SUM(D58:D60)</f>
        <v/>
      </c>
      <c r="E61" s="15">
        <f>SUM(E58:E60)</f>
        <v/>
      </c>
      <c r="F61" s="15">
        <f>SUM(F58:F60)</f>
        <v/>
      </c>
      <c r="G61" s="15">
        <f>SUM(G58:G60)</f>
        <v/>
      </c>
      <c r="H61" s="15">
        <f>SUM(H58:H60)</f>
        <v/>
      </c>
      <c r="I61" s="15">
        <f>SUM(I58:I60)</f>
        <v/>
      </c>
      <c r="J61" s="15">
        <f>SUM(J58:J60)</f>
        <v/>
      </c>
      <c r="K61" s="15">
        <f>SUM(K58:K60)</f>
        <v/>
      </c>
      <c r="L61" s="15">
        <f>SUM(L58:L60)</f>
        <v/>
      </c>
      <c r="M61" s="15">
        <f>SUM(M58:M60)</f>
        <v/>
      </c>
      <c r="N61" s="15">
        <f>SUM(N58:N60)</f>
        <v/>
      </c>
    </row>
    <row r="62">
      <c r="A62" s="5" t="inlineStr">
        <is>
          <t>Crush (Oilseeds)</t>
        </is>
      </c>
      <c r="B62" s="12" t="inlineStr">
        <is>
          <t>MMT</t>
        </is>
      </c>
      <c r="C62" s="14" t="n">
        <v>0.33</v>
      </c>
      <c r="D62" s="14" t="n">
        <v>0.43</v>
      </c>
      <c r="E62" s="14" t="n">
        <v>0.53</v>
      </c>
      <c r="F62" s="14" t="n">
        <v>0.38</v>
      </c>
      <c r="G62" s="14" t="n">
        <v>0.525</v>
      </c>
      <c r="H62" s="14" t="n">
        <v>0.55</v>
      </c>
      <c r="I62" s="14" t="n">
        <v>0.95</v>
      </c>
      <c r="J62" s="14" t="n">
        <v>1.1</v>
      </c>
      <c r="K62" s="14" t="n">
        <v>1.26</v>
      </c>
      <c r="L62" s="14" t="n">
        <v>1.667</v>
      </c>
      <c r="M62" s="14" t="n">
        <v>2.3</v>
      </c>
      <c r="N62" s="14" t="n">
        <v>2.7</v>
      </c>
    </row>
    <row r="63">
      <c r="A63" s="5" t="inlineStr">
        <is>
          <t>Feed &amp; Residual</t>
        </is>
      </c>
      <c r="B63" s="12" t="inlineStr">
        <is>
          <t>MMT</t>
        </is>
      </c>
      <c r="C63" s="14" t="n">
        <v>0.01</v>
      </c>
      <c r="D63" s="14" t="n">
        <v>0.01</v>
      </c>
      <c r="E63" s="14" t="n">
        <v>0.015</v>
      </c>
      <c r="F63" s="14" t="n">
        <v>0.015</v>
      </c>
      <c r="G63" s="14" t="n">
        <v>0.015</v>
      </c>
      <c r="H63" s="14" t="n">
        <v>0.015</v>
      </c>
      <c r="I63" s="14" t="n">
        <v>0.02</v>
      </c>
      <c r="J63" s="14" t="n">
        <v>0.022</v>
      </c>
      <c r="K63" s="14" t="n">
        <v>0.02</v>
      </c>
      <c r="L63" s="14" t="n">
        <v>0.015</v>
      </c>
      <c r="M63" s="14" t="n">
        <v>0.03</v>
      </c>
      <c r="N63" s="14" t="n">
        <v>0.045</v>
      </c>
    </row>
    <row r="64">
      <c r="A64" s="5" t="inlineStr">
        <is>
          <t>FSI / Food &amp; Industrial</t>
        </is>
      </c>
      <c r="B64" s="12" t="inlineStr">
        <is>
          <t>MMT</t>
        </is>
      </c>
      <c r="C64" s="14" t="n">
        <v>0.05</v>
      </c>
      <c r="D64" s="14" t="n">
        <v>0.05</v>
      </c>
      <c r="E64" s="14" t="n">
        <v>0.05</v>
      </c>
      <c r="F64" s="14" t="n">
        <v>0.05</v>
      </c>
      <c r="G64" s="14" t="n">
        <v>0.05</v>
      </c>
      <c r="H64" s="14" t="n">
        <v>0.05</v>
      </c>
      <c r="I64" s="14" t="n">
        <v>0.05</v>
      </c>
      <c r="J64" s="14" t="n">
        <v>0.05</v>
      </c>
      <c r="K64" s="14" t="n">
        <v>0.05</v>
      </c>
      <c r="L64" s="14" t="n">
        <v>0.05</v>
      </c>
      <c r="M64" s="14" t="n">
        <v>0.055</v>
      </c>
      <c r="N64" s="14" t="n">
        <v>0.055</v>
      </c>
    </row>
    <row r="65">
      <c r="A65" s="5" t="inlineStr">
        <is>
          <t>Total Domestic Consumption</t>
        </is>
      </c>
      <c r="B65" s="12" t="inlineStr">
        <is>
          <t>MMT</t>
        </is>
      </c>
      <c r="C65" s="14" t="n">
        <v>0.39</v>
      </c>
      <c r="D65" s="14" t="n">
        <v>0.49</v>
      </c>
      <c r="E65" s="14" t="n">
        <v>0.595</v>
      </c>
      <c r="F65" s="14" t="n">
        <v>0.445</v>
      </c>
      <c r="G65" s="14" t="n">
        <v>0.59</v>
      </c>
      <c r="H65" s="14" t="n">
        <v>0.615</v>
      </c>
      <c r="I65" s="14" t="n">
        <v>1.02</v>
      </c>
      <c r="J65" s="14" t="n">
        <v>1.172</v>
      </c>
      <c r="K65" s="14" t="n">
        <v>1.33</v>
      </c>
      <c r="L65" s="14" t="n">
        <v>1.732</v>
      </c>
      <c r="M65" s="14" t="n">
        <v>2.385</v>
      </c>
      <c r="N65" s="14" t="n">
        <v>2.8</v>
      </c>
    </row>
    <row r="66">
      <c r="A66" s="5" t="inlineStr">
        <is>
          <t>Exports (MY)</t>
        </is>
      </c>
      <c r="B66" s="12" t="inlineStr">
        <is>
          <t>MMT</t>
        </is>
      </c>
      <c r="C66" s="14" t="n">
        <v>0.168</v>
      </c>
      <c r="D66" s="14" t="n">
        <v>0.275</v>
      </c>
      <c r="E66" s="14" t="n">
        <v>0.321</v>
      </c>
      <c r="F66" s="14" t="n">
        <v>0.451</v>
      </c>
      <c r="G66" s="14" t="n">
        <v>0.318</v>
      </c>
      <c r="H66" s="14" t="n">
        <v>0.266</v>
      </c>
      <c r="I66" s="14" t="n">
        <v>0.222</v>
      </c>
      <c r="J66" s="14" t="n">
        <v>0.313</v>
      </c>
      <c r="K66" s="14" t="n">
        <v>0.173</v>
      </c>
      <c r="L66" s="14" t="n">
        <v>0.224</v>
      </c>
      <c r="M66" s="14" t="n">
        <v>0.215</v>
      </c>
      <c r="N66" s="14" t="n">
        <v>0.325</v>
      </c>
    </row>
    <row r="67">
      <c r="A67" s="4">
        <f> Total Disappearance</f>
        <v/>
      </c>
      <c r="B67" s="12" t="inlineStr">
        <is>
          <t>Formula: Dom+Exp</t>
        </is>
      </c>
      <c r="C67" s="15">
        <f>C65+C66</f>
        <v/>
      </c>
      <c r="D67" s="15">
        <f>D65+D66</f>
        <v/>
      </c>
      <c r="E67" s="15">
        <f>E65+E66</f>
        <v/>
      </c>
      <c r="F67" s="15">
        <f>F65+F66</f>
        <v/>
      </c>
      <c r="G67" s="15">
        <f>G65+G66</f>
        <v/>
      </c>
      <c r="H67" s="15">
        <f>H65+H66</f>
        <v/>
      </c>
      <c r="I67" s="15">
        <f>I65+I66</f>
        <v/>
      </c>
      <c r="J67" s="15">
        <f>J65+J66</f>
        <v/>
      </c>
      <c r="K67" s="15">
        <f>K65+K66</f>
        <v/>
      </c>
      <c r="L67" s="15">
        <f>L65+L66</f>
        <v/>
      </c>
      <c r="M67" s="15">
        <f>M65+M66</f>
        <v/>
      </c>
      <c r="N67" s="15">
        <f>N65+N66</f>
        <v/>
      </c>
    </row>
    <row r="68">
      <c r="A68" s="4" t="inlineStr">
        <is>
          <t>Ending Stocks</t>
        </is>
      </c>
      <c r="B68" s="12" t="inlineStr">
        <is>
          <t>MMT</t>
        </is>
      </c>
      <c r="C68" s="16" t="n">
        <v>0.021</v>
      </c>
      <c r="D68" s="16" t="n">
        <v>0.022</v>
      </c>
      <c r="E68" s="16" t="n">
        <v>0.023</v>
      </c>
      <c r="F68" s="16" t="n">
        <v>0.022</v>
      </c>
      <c r="G68" s="16" t="n">
        <v>0.018</v>
      </c>
      <c r="H68" s="16" t="n">
        <v>0.025</v>
      </c>
      <c r="I68" s="16" t="n">
        <v>0.045</v>
      </c>
      <c r="J68" s="16" t="n">
        <v>0.062</v>
      </c>
      <c r="K68" s="16" t="n">
        <v>0.023</v>
      </c>
      <c r="L68" s="16" t="n">
        <v>0.04</v>
      </c>
      <c r="M68" s="16" t="n">
        <v>0.054</v>
      </c>
      <c r="N68" s="16" t="n">
        <v>0.079</v>
      </c>
    </row>
    <row r="69">
      <c r="A69" s="4" t="inlineStr">
        <is>
          <t>Stocks-to-Use Ratio (%)</t>
        </is>
      </c>
      <c r="B69" s="12" t="inlineStr">
        <is>
          <t>Formula: End/TotUse</t>
        </is>
      </c>
      <c r="C69" s="17">
        <f>IF(C67&gt;0, C68/C67, 0)</f>
        <v/>
      </c>
      <c r="D69" s="17">
        <f>IF(D67&gt;0, D68/D67, 0)</f>
        <v/>
      </c>
      <c r="E69" s="17">
        <f>IF(E67&gt;0, E68/E67, 0)</f>
        <v/>
      </c>
      <c r="F69" s="17">
        <f>IF(F67&gt;0, F68/F67, 0)</f>
        <v/>
      </c>
      <c r="G69" s="17">
        <f>IF(G67&gt;0, G68/G67, 0)</f>
        <v/>
      </c>
      <c r="H69" s="17">
        <f>IF(H67&gt;0, H68/H67, 0)</f>
        <v/>
      </c>
      <c r="I69" s="17">
        <f>IF(I67&gt;0, I68/I67, 0)</f>
        <v/>
      </c>
      <c r="J69" s="17">
        <f>IF(J67&gt;0, J68/J67, 0)</f>
        <v/>
      </c>
      <c r="K69" s="17">
        <f>IF(K67&gt;0, K68/K67, 0)</f>
        <v/>
      </c>
      <c r="L69" s="17">
        <f>IF(L67&gt;0, L68/L67, 0)</f>
        <v/>
      </c>
      <c r="M69" s="17">
        <f>IF(M67&gt;0, M68/M67, 0)</f>
        <v/>
      </c>
      <c r="N69" s="17">
        <f>IF(N67&gt;0, N68/N67, 0)</f>
        <v/>
      </c>
    </row>
    <row r="72">
      <c r="A72" s="10" t="inlineStr">
        <is>
          <t>KZ — SUNFLOWER OIL BALANCE SHEET (MMT)</t>
        </is>
      </c>
      <c r="B72" s="11" t="inlineStr">
        <is>
          <t>Unit / Formula</t>
        </is>
      </c>
      <c r="C72" s="11" t="inlineStr">
        <is>
          <t>2015/16</t>
        </is>
      </c>
      <c r="D72" s="11" t="inlineStr">
        <is>
          <t>2016/17</t>
        </is>
      </c>
      <c r="E72" s="11" t="inlineStr">
        <is>
          <t>2017/18</t>
        </is>
      </c>
      <c r="F72" s="11" t="inlineStr">
        <is>
          <t>2018/19</t>
        </is>
      </c>
      <c r="G72" s="11" t="inlineStr">
        <is>
          <t>2019/20</t>
        </is>
      </c>
      <c r="H72" s="11" t="inlineStr">
        <is>
          <t>2020/21</t>
        </is>
      </c>
      <c r="I72" s="11" t="inlineStr">
        <is>
          <t>2021/22</t>
        </is>
      </c>
      <c r="J72" s="11" t="inlineStr">
        <is>
          <t>2022/23</t>
        </is>
      </c>
      <c r="K72" s="11" t="inlineStr">
        <is>
          <t>2023/24</t>
        </is>
      </c>
      <c r="L72" s="11" t="inlineStr">
        <is>
          <t>2024/25</t>
        </is>
      </c>
      <c r="M72" s="11" t="inlineStr">
        <is>
          <t>2025/26</t>
        </is>
      </c>
      <c r="N72" s="11" t="inlineStr">
        <is>
          <t>2026/27</t>
        </is>
      </c>
    </row>
    <row r="73">
      <c r="A73" s="5" t="inlineStr">
        <is>
          <t>Area Harvested</t>
        </is>
      </c>
      <c r="B73" s="12" t="inlineStr">
        <is>
          <t>Million Ha (Mha)</t>
        </is>
      </c>
      <c r="C73" s="13" t="n">
        <v>0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</row>
    <row r="74">
      <c r="A74" s="5" t="inlineStr">
        <is>
          <t>Yield</t>
        </is>
      </c>
      <c r="B74" s="12" t="inlineStr">
        <is>
          <t>MT / Ha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</row>
    <row r="75">
      <c r="A75" s="4" t="inlineStr">
        <is>
          <t>Beginning Stocks</t>
        </is>
      </c>
      <c r="B75" s="12" t="inlineStr">
        <is>
          <t>MMT</t>
        </is>
      </c>
      <c r="C75" s="14" t="n">
        <v>0.077</v>
      </c>
      <c r="D75" s="14" t="n">
        <v>0.091</v>
      </c>
      <c r="E75" s="14" t="n">
        <v>0.08799999999999999</v>
      </c>
      <c r="F75" s="14" t="n">
        <v>0.09</v>
      </c>
      <c r="G75" s="14" t="n">
        <v>0.07099999999999999</v>
      </c>
      <c r="H75" s="14" t="n">
        <v>0.03</v>
      </c>
      <c r="I75" s="14" t="n">
        <v>0.039</v>
      </c>
      <c r="J75" s="14" t="n">
        <v>0.103</v>
      </c>
      <c r="K75" s="14" t="n">
        <v>0.079</v>
      </c>
      <c r="L75" s="14" t="n">
        <v>0.032</v>
      </c>
      <c r="M75" s="14" t="n">
        <v>0.047</v>
      </c>
      <c r="N75" s="14" t="n">
        <v>0.066</v>
      </c>
    </row>
    <row r="76">
      <c r="A76" s="5" t="inlineStr">
        <is>
          <t>Production (Harvest)</t>
        </is>
      </c>
      <c r="B76" s="12" t="inlineStr">
        <is>
          <t>MMT</t>
        </is>
      </c>
      <c r="C76" s="14" t="n">
        <v>0.138</v>
      </c>
      <c r="D76" s="14" t="n">
        <v>0.18</v>
      </c>
      <c r="E76" s="14" t="n">
        <v>0.222</v>
      </c>
      <c r="F76" s="14" t="n">
        <v>0.159</v>
      </c>
      <c r="G76" s="14" t="n">
        <v>0.22</v>
      </c>
      <c r="H76" s="14" t="n">
        <v>0.23</v>
      </c>
      <c r="I76" s="14" t="n">
        <v>0.398</v>
      </c>
      <c r="J76" s="14" t="n">
        <v>0.46</v>
      </c>
      <c r="K76" s="14" t="n">
        <v>0.527</v>
      </c>
      <c r="L76" s="14" t="n">
        <v>0.698</v>
      </c>
      <c r="M76" s="14" t="n">
        <v>0.964</v>
      </c>
      <c r="N76" s="14" t="n">
        <v>1.132</v>
      </c>
    </row>
    <row r="77">
      <c r="A77" s="5" t="inlineStr">
        <is>
          <t>Imports</t>
        </is>
      </c>
      <c r="B77" s="12" t="inlineStr">
        <is>
          <t>MMT</t>
        </is>
      </c>
      <c r="C77" s="14" t="n">
        <v>0.128</v>
      </c>
      <c r="D77" s="14" t="n">
        <v>0.093</v>
      </c>
      <c r="E77" s="14" t="n">
        <v>0.096</v>
      </c>
      <c r="F77" s="14" t="n">
        <v>0.13</v>
      </c>
      <c r="G77" s="14" t="n">
        <v>0.102</v>
      </c>
      <c r="H77" s="14" t="n">
        <v>0.089</v>
      </c>
      <c r="I77" s="14" t="n">
        <v>0.104</v>
      </c>
      <c r="J77" s="14" t="n">
        <v>0.095</v>
      </c>
      <c r="K77" s="14" t="n">
        <v>0.091</v>
      </c>
      <c r="L77" s="14" t="n">
        <v>0.152</v>
      </c>
      <c r="M77" s="14" t="n">
        <v>0.125</v>
      </c>
      <c r="N77" s="14" t="n">
        <v>0.1</v>
      </c>
    </row>
    <row r="78">
      <c r="A78" s="4">
        <f> Total Supply</f>
        <v/>
      </c>
      <c r="B78" s="12" t="inlineStr">
        <is>
          <t>Formula: Beg+Prod+Imp</t>
        </is>
      </c>
      <c r="C78" s="15">
        <f>SUM(C75:C77)</f>
        <v/>
      </c>
      <c r="D78" s="15">
        <f>SUM(D75:D77)</f>
        <v/>
      </c>
      <c r="E78" s="15">
        <f>SUM(E75:E77)</f>
        <v/>
      </c>
      <c r="F78" s="15">
        <f>SUM(F75:F77)</f>
        <v/>
      </c>
      <c r="G78" s="15">
        <f>SUM(G75:G77)</f>
        <v/>
      </c>
      <c r="H78" s="15">
        <f>SUM(H75:H77)</f>
        <v/>
      </c>
      <c r="I78" s="15">
        <f>SUM(I75:I77)</f>
        <v/>
      </c>
      <c r="J78" s="15">
        <f>SUM(J75:J77)</f>
        <v/>
      </c>
      <c r="K78" s="15">
        <f>SUM(K75:K77)</f>
        <v/>
      </c>
      <c r="L78" s="15">
        <f>SUM(L75:L77)</f>
        <v/>
      </c>
      <c r="M78" s="15">
        <f>SUM(M75:M77)</f>
        <v/>
      </c>
      <c r="N78" s="15">
        <f>SUM(N75:N77)</f>
        <v/>
      </c>
    </row>
    <row r="79">
      <c r="A79" s="5" t="inlineStr">
        <is>
          <t>Crush (Oilseeds)</t>
        </is>
      </c>
      <c r="B79" s="12" t="inlineStr">
        <is>
          <t>MMT</t>
        </is>
      </c>
      <c r="C79" s="14" t="n">
        <v>0.33</v>
      </c>
      <c r="D79" s="14" t="n">
        <v>0.43</v>
      </c>
      <c r="E79" s="14" t="n">
        <v>0.53</v>
      </c>
      <c r="F79" s="14" t="n">
        <v>0.38</v>
      </c>
      <c r="G79" s="14" t="n">
        <v>0.525</v>
      </c>
      <c r="H79" s="14" t="n">
        <v>0.55</v>
      </c>
      <c r="I79" s="14" t="n">
        <v>0.95</v>
      </c>
      <c r="J79" s="14" t="n">
        <v>1.1</v>
      </c>
      <c r="K79" s="14" t="n">
        <v>1.26</v>
      </c>
      <c r="L79" s="14" t="n">
        <v>1.667</v>
      </c>
      <c r="M79" s="14" t="n">
        <v>2.3</v>
      </c>
      <c r="N79" s="14" t="n">
        <v>2.7</v>
      </c>
    </row>
    <row r="80">
      <c r="A80" s="5" t="inlineStr">
        <is>
          <t>Feed &amp; Residual</t>
        </is>
      </c>
      <c r="B80" s="12" t="inlineStr">
        <is>
          <t>MMT</t>
        </is>
      </c>
      <c r="C80" s="14" t="n">
        <v>0</v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</row>
    <row r="81">
      <c r="A81" s="5" t="inlineStr">
        <is>
          <t>FSI / Food &amp; Industrial</t>
        </is>
      </c>
      <c r="B81" s="12" t="inlineStr">
        <is>
          <t>MMT</t>
        </is>
      </c>
      <c r="C81" s="14" t="n">
        <v>0.23</v>
      </c>
      <c r="D81" s="14" t="n">
        <v>0.235</v>
      </c>
      <c r="E81" s="14" t="n">
        <v>0.245</v>
      </c>
      <c r="F81" s="14" t="n">
        <v>0.235</v>
      </c>
      <c r="G81" s="14" t="n">
        <v>0.245</v>
      </c>
      <c r="H81" s="14" t="n">
        <v>0.215</v>
      </c>
      <c r="I81" s="14" t="n">
        <v>0.26</v>
      </c>
      <c r="J81" s="14" t="n">
        <v>0.265</v>
      </c>
      <c r="K81" s="14" t="n">
        <v>0.28</v>
      </c>
      <c r="L81" s="14" t="n">
        <v>0.26</v>
      </c>
      <c r="M81" s="14" t="n">
        <v>0.27</v>
      </c>
      <c r="N81" s="14" t="n">
        <v>0.28</v>
      </c>
    </row>
    <row r="82">
      <c r="A82" s="5" t="inlineStr">
        <is>
          <t>Total Domestic Consumption</t>
        </is>
      </c>
      <c r="B82" s="12" t="inlineStr">
        <is>
          <t>MMT</t>
        </is>
      </c>
      <c r="C82" s="14" t="n">
        <v>0.23</v>
      </c>
      <c r="D82" s="14" t="n">
        <v>0.235</v>
      </c>
      <c r="E82" s="14" t="n">
        <v>0.245</v>
      </c>
      <c r="F82" s="14" t="n">
        <v>0.235</v>
      </c>
      <c r="G82" s="14" t="n">
        <v>0.245</v>
      </c>
      <c r="H82" s="14" t="n">
        <v>0.215</v>
      </c>
      <c r="I82" s="14" t="n">
        <v>0.26</v>
      </c>
      <c r="J82" s="14" t="n">
        <v>0.265</v>
      </c>
      <c r="K82" s="14" t="n">
        <v>0.28</v>
      </c>
      <c r="L82" s="14" t="n">
        <v>0.26</v>
      </c>
      <c r="M82" s="14" t="n">
        <v>0.27</v>
      </c>
      <c r="N82" s="14" t="n">
        <v>0.28</v>
      </c>
    </row>
    <row r="83">
      <c r="A83" s="5" t="inlineStr">
        <is>
          <t>Exports (MY)</t>
        </is>
      </c>
      <c r="B83" s="12" t="inlineStr">
        <is>
          <t>MMT</t>
        </is>
      </c>
      <c r="C83" s="14" t="n">
        <v>0.022</v>
      </c>
      <c r="D83" s="14" t="n">
        <v>0.041</v>
      </c>
      <c r="E83" s="14" t="n">
        <v>0.07099999999999999</v>
      </c>
      <c r="F83" s="14" t="n">
        <v>0.073</v>
      </c>
      <c r="G83" s="14" t="n">
        <v>0.118</v>
      </c>
      <c r="H83" s="14" t="n">
        <v>0.095</v>
      </c>
      <c r="I83" s="14" t="n">
        <v>0.178</v>
      </c>
      <c r="J83" s="14" t="n">
        <v>0.314</v>
      </c>
      <c r="K83" s="14" t="n">
        <v>0.385</v>
      </c>
      <c r="L83" s="14" t="n">
        <v>0.575</v>
      </c>
      <c r="M83" s="14" t="n">
        <v>0.8</v>
      </c>
      <c r="N83" s="14" t="n">
        <v>0.95</v>
      </c>
    </row>
    <row r="84">
      <c r="A84" s="4">
        <f> Total Disappearance</f>
        <v/>
      </c>
      <c r="B84" s="12" t="inlineStr">
        <is>
          <t>Formula: Dom+Exp</t>
        </is>
      </c>
      <c r="C84" s="15">
        <f>C82+C83</f>
        <v/>
      </c>
      <c r="D84" s="15">
        <f>D82+D83</f>
        <v/>
      </c>
      <c r="E84" s="15">
        <f>E82+E83</f>
        <v/>
      </c>
      <c r="F84" s="15">
        <f>F82+F83</f>
        <v/>
      </c>
      <c r="G84" s="15">
        <f>G82+G83</f>
        <v/>
      </c>
      <c r="H84" s="15">
        <f>H82+H83</f>
        <v/>
      </c>
      <c r="I84" s="15">
        <f>I82+I83</f>
        <v/>
      </c>
      <c r="J84" s="15">
        <f>J82+J83</f>
        <v/>
      </c>
      <c r="K84" s="15">
        <f>K82+K83</f>
        <v/>
      </c>
      <c r="L84" s="15">
        <f>L82+L83</f>
        <v/>
      </c>
      <c r="M84" s="15">
        <f>M82+M83</f>
        <v/>
      </c>
      <c r="N84" s="15">
        <f>N82+N83</f>
        <v/>
      </c>
    </row>
    <row r="85">
      <c r="A85" s="4" t="inlineStr">
        <is>
          <t>Ending Stocks</t>
        </is>
      </c>
      <c r="B85" s="12" t="inlineStr">
        <is>
          <t>MMT</t>
        </is>
      </c>
      <c r="C85" s="16" t="n">
        <v>0.091</v>
      </c>
      <c r="D85" s="16" t="n">
        <v>0.08799999999999999</v>
      </c>
      <c r="E85" s="16" t="n">
        <v>0.09</v>
      </c>
      <c r="F85" s="16" t="n">
        <v>0.07099999999999999</v>
      </c>
      <c r="G85" s="16" t="n">
        <v>0.03</v>
      </c>
      <c r="H85" s="16" t="n">
        <v>0.039</v>
      </c>
      <c r="I85" s="16" t="n">
        <v>0.103</v>
      </c>
      <c r="J85" s="16" t="n">
        <v>0.079</v>
      </c>
      <c r="K85" s="16" t="n">
        <v>0.032</v>
      </c>
      <c r="L85" s="16" t="n">
        <v>0.047</v>
      </c>
      <c r="M85" s="16" t="n">
        <v>0.066</v>
      </c>
      <c r="N85" s="16" t="n">
        <v>0.068</v>
      </c>
    </row>
    <row r="86">
      <c r="A86" s="4" t="inlineStr">
        <is>
          <t>Stocks-to-Use Ratio (%)</t>
        </is>
      </c>
      <c r="B86" s="12" t="inlineStr">
        <is>
          <t>Formula: End/TotUse</t>
        </is>
      </c>
      <c r="C86" s="17">
        <f>IF(C84&gt;0, C85/C84, 0)</f>
        <v/>
      </c>
      <c r="D86" s="17">
        <f>IF(D84&gt;0, D85/D84, 0)</f>
        <v/>
      </c>
      <c r="E86" s="17">
        <f>IF(E84&gt;0, E85/E84, 0)</f>
        <v/>
      </c>
      <c r="F86" s="17">
        <f>IF(F84&gt;0, F85/F84, 0)</f>
        <v/>
      </c>
      <c r="G86" s="17">
        <f>IF(G84&gt;0, G85/G84, 0)</f>
        <v/>
      </c>
      <c r="H86" s="17">
        <f>IF(H84&gt;0, H85/H84, 0)</f>
        <v/>
      </c>
      <c r="I86" s="17">
        <f>IF(I84&gt;0, I85/I84, 0)</f>
        <v/>
      </c>
      <c r="J86" s="17">
        <f>IF(J84&gt;0, J85/J84, 0)</f>
        <v/>
      </c>
      <c r="K86" s="17">
        <f>IF(K84&gt;0, K85/K84, 0)</f>
        <v/>
      </c>
      <c r="L86" s="17">
        <f>IF(L84&gt;0, L85/L84, 0)</f>
        <v/>
      </c>
      <c r="M86" s="17">
        <f>IF(M84&gt;0, M85/M84, 0)</f>
        <v/>
      </c>
      <c r="N86" s="17">
        <f>IF(N84&gt;0, N85/N84,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5" customWidth="1" min="14" max="14"/>
    <col width="16" customWidth="1" min="15" max="15"/>
  </cols>
  <sheetData>
    <row r="1">
      <c r="A1" s="9" t="inlineStr">
        <is>
          <t>RUSSIA 10-YEAR MONTHLY GRAIN EXPORTS MATRIX (2017/18 – 2026/27, 1,000 MT)</t>
        </is>
      </c>
    </row>
    <row r="2">
      <c r="A2" s="2" t="inlineStr">
        <is>
          <t>Jul 2017 – Jan 2022: Official Russian Federal Customs Service (FTS) | Feb 2022 – Oct 2026: SovEcon Official Monthly Series via Reuters</t>
        </is>
      </c>
    </row>
    <row r="4">
      <c r="A4" s="10" t="inlineStr">
        <is>
          <t>RUSSIA — TOTAL GRAINS (1,000 MT)</t>
        </is>
      </c>
      <c r="B4" s="11" t="inlineStr">
        <is>
          <t>Jul</t>
        </is>
      </c>
      <c r="C4" s="11" t="inlineStr">
        <is>
          <t>Aug</t>
        </is>
      </c>
      <c r="D4" s="11" t="inlineStr">
        <is>
          <t>Sep</t>
        </is>
      </c>
      <c r="E4" s="11" t="inlineStr">
        <is>
          <t>Oct</t>
        </is>
      </c>
      <c r="F4" s="11" t="inlineStr">
        <is>
          <t>Nov</t>
        </is>
      </c>
      <c r="G4" s="11" t="inlineStr">
        <is>
          <t>Dec</t>
        </is>
      </c>
      <c r="H4" s="11" t="inlineStr">
        <is>
          <t>Jan</t>
        </is>
      </c>
      <c r="I4" s="11" t="inlineStr">
        <is>
          <t>Feb</t>
        </is>
      </c>
      <c r="J4" s="11" t="inlineStr">
        <is>
          <t>Mar</t>
        </is>
      </c>
      <c r="K4" s="11" t="inlineStr">
        <is>
          <t>Apr</t>
        </is>
      </c>
      <c r="L4" s="11" t="inlineStr">
        <is>
          <t>May</t>
        </is>
      </c>
      <c r="M4" s="11" t="inlineStr">
        <is>
          <t>Jun</t>
        </is>
      </c>
      <c r="N4" s="11" t="inlineStr">
        <is>
          <t>Jul-Oct MYTD</t>
        </is>
      </c>
      <c r="O4" s="11" t="inlineStr">
        <is>
          <t>Full MY Total</t>
        </is>
      </c>
    </row>
    <row r="5">
      <c r="A5" s="4" t="inlineStr">
        <is>
          <t>2017/18</t>
        </is>
      </c>
      <c r="B5" s="18" t="n">
        <v>2444</v>
      </c>
      <c r="C5" s="18" t="n">
        <v>4749</v>
      </c>
      <c r="D5" s="18" t="n">
        <v>4992</v>
      </c>
      <c r="E5" s="18" t="n">
        <v>4533</v>
      </c>
      <c r="F5" s="18" t="n">
        <v>5268</v>
      </c>
      <c r="G5" s="18" t="n">
        <v>5176</v>
      </c>
      <c r="H5" s="18" t="n">
        <v>3167</v>
      </c>
      <c r="I5" s="18" t="n">
        <v>4152</v>
      </c>
      <c r="J5" s="18" t="n">
        <v>5033</v>
      </c>
      <c r="K5" s="18" t="n">
        <v>4256</v>
      </c>
      <c r="L5" s="18" t="n">
        <v>5225</v>
      </c>
      <c r="M5" s="18" t="n">
        <v>3086</v>
      </c>
      <c r="N5" s="19">
        <f>SUM(B5:E5)</f>
        <v/>
      </c>
      <c r="O5" s="20">
        <f>SUM(B5:M5)</f>
        <v/>
      </c>
    </row>
    <row r="6">
      <c r="A6" s="4" t="inlineStr">
        <is>
          <t>2018/19</t>
        </is>
      </c>
      <c r="B6" s="18" t="n">
        <v>4748</v>
      </c>
      <c r="C6" s="18" t="n">
        <v>5377</v>
      </c>
      <c r="D6" s="18" t="n">
        <v>5116</v>
      </c>
      <c r="E6" s="18" t="n">
        <v>5043</v>
      </c>
      <c r="F6" s="18" t="n">
        <v>4177</v>
      </c>
      <c r="G6" s="18" t="n">
        <v>4416</v>
      </c>
      <c r="H6" s="18" t="n">
        <v>3050</v>
      </c>
      <c r="I6" s="18" t="n">
        <v>2723</v>
      </c>
      <c r="J6" s="18" t="n">
        <v>2488</v>
      </c>
      <c r="K6" s="18" t="n">
        <v>2477</v>
      </c>
      <c r="L6" s="18" t="n">
        <v>1465</v>
      </c>
      <c r="M6" s="18" t="n">
        <v>1432</v>
      </c>
      <c r="N6" s="19">
        <f>SUM(B6:E6)</f>
        <v/>
      </c>
      <c r="O6" s="20">
        <f>SUM(B6:M6)</f>
        <v/>
      </c>
    </row>
    <row r="7">
      <c r="A7" s="4" t="inlineStr">
        <is>
          <t>2019/20</t>
        </is>
      </c>
      <c r="B7" s="18" t="n">
        <v>3814</v>
      </c>
      <c r="C7" s="18" t="n">
        <v>5397</v>
      </c>
      <c r="D7" s="18" t="n">
        <v>4627</v>
      </c>
      <c r="E7" s="18" t="n">
        <v>4365</v>
      </c>
      <c r="F7" s="18" t="n">
        <v>3401</v>
      </c>
      <c r="G7" s="18" t="n">
        <v>3387</v>
      </c>
      <c r="H7" s="18" t="n">
        <v>2920</v>
      </c>
      <c r="I7" s="18" t="n">
        <v>2143</v>
      </c>
      <c r="J7" s="18" t="n">
        <v>4210</v>
      </c>
      <c r="K7" s="18" t="n">
        <v>5103</v>
      </c>
      <c r="L7" s="18" t="n">
        <v>2210</v>
      </c>
      <c r="M7" s="18" t="n">
        <v>550</v>
      </c>
      <c r="N7" s="19">
        <f>SUM(B7:E7)</f>
        <v/>
      </c>
      <c r="O7" s="20">
        <f>SUM(B7:M7)</f>
        <v/>
      </c>
    </row>
    <row r="8">
      <c r="A8" s="4" t="inlineStr">
        <is>
          <t>2020/21</t>
        </is>
      </c>
      <c r="B8" s="18" t="n">
        <v>3299</v>
      </c>
      <c r="C8" s="18" t="n">
        <v>5416</v>
      </c>
      <c r="D8" s="18" t="n">
        <v>5989</v>
      </c>
      <c r="E8" s="18" t="n">
        <v>5506</v>
      </c>
      <c r="F8" s="18" t="n">
        <v>5020</v>
      </c>
      <c r="G8" s="18" t="n">
        <v>5837</v>
      </c>
      <c r="H8" s="18" t="n">
        <v>3693</v>
      </c>
      <c r="I8" s="18" t="n">
        <v>5396</v>
      </c>
      <c r="J8" s="18" t="n">
        <v>2912</v>
      </c>
      <c r="K8" s="18" t="n">
        <v>1456</v>
      </c>
      <c r="L8" s="18" t="n">
        <v>1560</v>
      </c>
      <c r="M8" s="18" t="n">
        <v>2506</v>
      </c>
      <c r="N8" s="19">
        <f>SUM(B8:E8)</f>
        <v/>
      </c>
      <c r="O8" s="20">
        <f>SUM(B8:M8)</f>
        <v/>
      </c>
    </row>
    <row r="9">
      <c r="A9" s="4" t="inlineStr">
        <is>
          <t>2021/22</t>
        </is>
      </c>
      <c r="B9" s="18" t="n">
        <v>2484</v>
      </c>
      <c r="C9" s="18" t="n">
        <v>5852</v>
      </c>
      <c r="D9" s="18" t="n">
        <v>5283</v>
      </c>
      <c r="E9" s="18" t="n">
        <v>3386</v>
      </c>
      <c r="F9" s="18" t="n">
        <v>3958</v>
      </c>
      <c r="G9" s="18" t="n">
        <v>3912</v>
      </c>
      <c r="H9" s="18" t="n">
        <v>1828</v>
      </c>
      <c r="I9" s="18" t="n">
        <v>2800</v>
      </c>
      <c r="J9" s="18" t="n">
        <v>2650</v>
      </c>
      <c r="K9" s="18" t="n">
        <v>2700</v>
      </c>
      <c r="L9" s="18" t="n">
        <v>1800</v>
      </c>
      <c r="M9" s="18" t="n">
        <v>1600</v>
      </c>
      <c r="N9" s="19">
        <f>SUM(B9:E9)</f>
        <v/>
      </c>
      <c r="O9" s="20">
        <f>SUM(B9:M9)</f>
        <v/>
      </c>
    </row>
    <row r="10">
      <c r="A10" s="4" t="inlineStr">
        <is>
          <t>2022/23</t>
        </is>
      </c>
      <c r="B10" s="18" t="n">
        <v>2650</v>
      </c>
      <c r="C10" s="18" t="n">
        <v>4200</v>
      </c>
      <c r="D10" s="18" t="n">
        <v>4450</v>
      </c>
      <c r="E10" s="18" t="n">
        <v>4700</v>
      </c>
      <c r="F10" s="18" t="n">
        <v>4850</v>
      </c>
      <c r="G10" s="18" t="n">
        <v>4500</v>
      </c>
      <c r="H10" s="18" t="n">
        <v>4400</v>
      </c>
      <c r="I10" s="18" t="n">
        <v>3500</v>
      </c>
      <c r="J10" s="18" t="n">
        <v>5350</v>
      </c>
      <c r="K10" s="18" t="n">
        <v>5250</v>
      </c>
      <c r="L10" s="18" t="n">
        <v>5000</v>
      </c>
      <c r="M10" s="18" t="n">
        <v>4000</v>
      </c>
      <c r="N10" s="19">
        <f>SUM(B10:E10)</f>
        <v/>
      </c>
      <c r="O10" s="20">
        <f>SUM(B10:M10)</f>
        <v/>
      </c>
    </row>
    <row r="11">
      <c r="A11" s="4" t="inlineStr">
        <is>
          <t>2023/24</t>
        </is>
      </c>
      <c r="B11" s="18" t="n">
        <v>5600</v>
      </c>
      <c r="C11" s="18" t="n">
        <v>6100</v>
      </c>
      <c r="D11" s="18" t="n">
        <v>5900</v>
      </c>
      <c r="E11" s="18" t="n">
        <v>5400</v>
      </c>
      <c r="F11" s="18" t="n">
        <v>4300</v>
      </c>
      <c r="G11" s="18" t="n">
        <v>4400</v>
      </c>
      <c r="H11" s="18" t="n">
        <v>4600</v>
      </c>
      <c r="I11" s="18" t="n">
        <v>4900</v>
      </c>
      <c r="J11" s="18" t="n">
        <v>6100</v>
      </c>
      <c r="K11" s="18" t="n">
        <v>5700</v>
      </c>
      <c r="L11" s="18" t="n">
        <v>5500</v>
      </c>
      <c r="M11" s="18" t="n">
        <v>4700</v>
      </c>
      <c r="N11" s="19">
        <f>SUM(B11:E11)</f>
        <v/>
      </c>
      <c r="O11" s="20">
        <f>SUM(B11:M11)</f>
        <v/>
      </c>
    </row>
    <row r="12">
      <c r="A12" s="4" t="inlineStr">
        <is>
          <t>2024/25</t>
        </is>
      </c>
      <c r="B12" s="18" t="n">
        <v>4500</v>
      </c>
      <c r="C12" s="18" t="n">
        <v>6300</v>
      </c>
      <c r="D12" s="18" t="n">
        <v>5800</v>
      </c>
      <c r="E12" s="18" t="n">
        <v>6050</v>
      </c>
      <c r="F12" s="18" t="n">
        <v>4600</v>
      </c>
      <c r="G12" s="18" t="n">
        <v>3800</v>
      </c>
      <c r="H12" s="18" t="n">
        <v>2750</v>
      </c>
      <c r="I12" s="18" t="n">
        <v>2200</v>
      </c>
      <c r="J12" s="18" t="n">
        <v>1900</v>
      </c>
      <c r="K12" s="18" t="n">
        <v>2400</v>
      </c>
      <c r="L12" s="18" t="n">
        <v>1900</v>
      </c>
      <c r="M12" s="18" t="n">
        <v>1200</v>
      </c>
      <c r="N12" s="19">
        <f>SUM(B12:E12)</f>
        <v/>
      </c>
      <c r="O12" s="20">
        <f>SUM(B12:M12)</f>
        <v/>
      </c>
    </row>
    <row r="13">
      <c r="A13" s="4" t="inlineStr">
        <is>
          <t>2025/26</t>
        </is>
      </c>
      <c r="B13" s="18" t="n">
        <v>2900</v>
      </c>
      <c r="C13" s="18" t="n">
        <v>5100</v>
      </c>
      <c r="D13" s="18" t="n">
        <v>5150</v>
      </c>
      <c r="E13" s="18" t="n">
        <v>5400</v>
      </c>
      <c r="F13" s="18" t="n">
        <v>5200</v>
      </c>
      <c r="G13" s="18" t="n">
        <v>4600</v>
      </c>
      <c r="H13" s="18" t="n">
        <v>3300</v>
      </c>
      <c r="I13" s="18" t="n">
        <v>3500</v>
      </c>
      <c r="J13" s="18" t="n">
        <v>5300</v>
      </c>
      <c r="K13" s="18" t="n">
        <v>4550</v>
      </c>
      <c r="L13" s="18" t="n">
        <v>3600</v>
      </c>
      <c r="M13" s="18" t="n">
        <v>2650</v>
      </c>
      <c r="N13" s="19">
        <f>SUM(B13:E13)</f>
        <v/>
      </c>
      <c r="O13" s="20">
        <f>SUM(B13:M13)</f>
        <v/>
      </c>
    </row>
    <row r="14">
      <c r="A14" s="4" t="inlineStr">
        <is>
          <t>2026/27</t>
        </is>
      </c>
      <c r="B14" s="18" t="n">
        <v>1950</v>
      </c>
      <c r="C14" s="18" t="n">
        <v>2400</v>
      </c>
      <c r="D14" s="18" t="n">
        <v>2950</v>
      </c>
      <c r="E14" s="18" t="n">
        <v>2800</v>
      </c>
      <c r="F14" s="18" t="n"/>
      <c r="G14" s="18" t="n"/>
      <c r="H14" s="18" t="n"/>
      <c r="I14" s="18" t="n"/>
      <c r="J14" s="18" t="n"/>
      <c r="K14" s="18" t="n"/>
      <c r="L14" s="18" t="n"/>
      <c r="M14" s="18" t="n"/>
      <c r="N14" s="19">
        <f>SUM(B14:E14)</f>
        <v/>
      </c>
      <c r="O14" s="20">
        <f>SUM(B14:M14)</f>
        <v/>
      </c>
    </row>
    <row r="17">
      <c r="A17" s="10" t="inlineStr">
        <is>
          <t>RUSSIA — WHEAT (1,000 MT)</t>
        </is>
      </c>
      <c r="B17" s="11" t="inlineStr">
        <is>
          <t>Jul</t>
        </is>
      </c>
      <c r="C17" s="11" t="inlineStr">
        <is>
          <t>Aug</t>
        </is>
      </c>
      <c r="D17" s="11" t="inlineStr">
        <is>
          <t>Sep</t>
        </is>
      </c>
      <c r="E17" s="11" t="inlineStr">
        <is>
          <t>Oct</t>
        </is>
      </c>
      <c r="F17" s="11" t="inlineStr">
        <is>
          <t>Nov</t>
        </is>
      </c>
      <c r="G17" s="11" t="inlineStr">
        <is>
          <t>Dec</t>
        </is>
      </c>
      <c r="H17" s="11" t="inlineStr">
        <is>
          <t>Jan</t>
        </is>
      </c>
      <c r="I17" s="11" t="inlineStr">
        <is>
          <t>Feb</t>
        </is>
      </c>
      <c r="J17" s="11" t="inlineStr">
        <is>
          <t>Mar</t>
        </is>
      </c>
      <c r="K17" s="11" t="inlineStr">
        <is>
          <t>Apr</t>
        </is>
      </c>
      <c r="L17" s="11" t="inlineStr">
        <is>
          <t>May</t>
        </is>
      </c>
      <c r="M17" s="11" t="inlineStr">
        <is>
          <t>Jun</t>
        </is>
      </c>
      <c r="N17" s="11" t="inlineStr">
        <is>
          <t>Jul-Oct MYTD</t>
        </is>
      </c>
      <c r="O17" s="11" t="inlineStr">
        <is>
          <t>Full MY Total</t>
        </is>
      </c>
    </row>
    <row r="18">
      <c r="A18" s="4" t="inlineStr">
        <is>
          <t>2017/18</t>
        </is>
      </c>
      <c r="B18" s="18" t="n">
        <v>1396</v>
      </c>
      <c r="C18" s="18" t="n">
        <v>3905</v>
      </c>
      <c r="D18" s="18" t="n">
        <v>4116</v>
      </c>
      <c r="E18" s="18" t="n">
        <v>3548</v>
      </c>
      <c r="F18" s="18" t="n">
        <v>4214</v>
      </c>
      <c r="G18" s="18" t="n">
        <v>4146</v>
      </c>
      <c r="H18" s="18" t="n">
        <v>2478</v>
      </c>
      <c r="I18" s="18" t="n">
        <v>3311</v>
      </c>
      <c r="J18" s="18" t="n">
        <v>3896</v>
      </c>
      <c r="K18" s="18" t="n">
        <v>3269</v>
      </c>
      <c r="L18" s="18" t="n">
        <v>4026</v>
      </c>
      <c r="M18" s="18" t="n">
        <v>2143</v>
      </c>
      <c r="N18" s="19">
        <f>SUM(B18:E18)</f>
        <v/>
      </c>
      <c r="O18" s="20">
        <f>SUM(B18:M18)</f>
        <v/>
      </c>
    </row>
    <row r="19">
      <c r="A19" s="4" t="inlineStr">
        <is>
          <t>2018/19</t>
        </is>
      </c>
      <c r="B19" s="18" t="n">
        <v>3838</v>
      </c>
      <c r="C19" s="18" t="n">
        <v>4678</v>
      </c>
      <c r="D19" s="18" t="n">
        <v>4536</v>
      </c>
      <c r="E19" s="18" t="n">
        <v>4368</v>
      </c>
      <c r="F19" s="18" t="n">
        <v>3378</v>
      </c>
      <c r="G19" s="18" t="n">
        <v>3773</v>
      </c>
      <c r="H19" s="18" t="n">
        <v>2417</v>
      </c>
      <c r="I19" s="18" t="n">
        <v>2244</v>
      </c>
      <c r="J19" s="18" t="n">
        <v>1933</v>
      </c>
      <c r="K19" s="18" t="n">
        <v>1916</v>
      </c>
      <c r="L19" s="18" t="n">
        <v>1001</v>
      </c>
      <c r="M19" s="18" t="n">
        <v>1075</v>
      </c>
      <c r="N19" s="19">
        <f>SUM(B19:E19)</f>
        <v/>
      </c>
      <c r="O19" s="20">
        <f>SUM(B19:M19)</f>
        <v/>
      </c>
    </row>
    <row r="20">
      <c r="A20" s="4" t="inlineStr">
        <is>
          <t>2019/20</t>
        </is>
      </c>
      <c r="B20" s="18" t="n">
        <v>2975</v>
      </c>
      <c r="C20" s="18" t="n">
        <v>4867</v>
      </c>
      <c r="D20" s="18" t="n">
        <v>4156</v>
      </c>
      <c r="E20" s="18" t="n">
        <v>3754</v>
      </c>
      <c r="F20" s="18" t="n">
        <v>2692</v>
      </c>
      <c r="G20" s="18" t="n">
        <v>2648</v>
      </c>
      <c r="H20" s="18" t="n">
        <v>2099</v>
      </c>
      <c r="I20" s="18" t="n">
        <v>1565</v>
      </c>
      <c r="J20" s="18" t="n">
        <v>3358</v>
      </c>
      <c r="K20" s="18" t="n">
        <v>3786</v>
      </c>
      <c r="L20" s="18" t="n">
        <v>1500</v>
      </c>
      <c r="M20" s="18" t="n">
        <v>350</v>
      </c>
      <c r="N20" s="19">
        <f>SUM(B20:E20)</f>
        <v/>
      </c>
      <c r="O20" s="20">
        <f>SUM(B20:M20)</f>
        <v/>
      </c>
    </row>
    <row r="21">
      <c r="A21" s="4" t="inlineStr">
        <is>
          <t>2020/21</t>
        </is>
      </c>
      <c r="B21" s="18" t="n">
        <v>2337</v>
      </c>
      <c r="C21" s="18" t="n">
        <v>4667</v>
      </c>
      <c r="D21" s="18" t="n">
        <v>5016</v>
      </c>
      <c r="E21" s="18" t="n">
        <v>4643</v>
      </c>
      <c r="F21" s="18" t="n">
        <v>4291</v>
      </c>
      <c r="G21" s="18" t="n">
        <v>4868</v>
      </c>
      <c r="H21" s="18" t="n">
        <v>3084</v>
      </c>
      <c r="I21" s="18" t="n">
        <v>4512</v>
      </c>
      <c r="J21" s="18" t="n">
        <v>1148</v>
      </c>
      <c r="K21" s="18" t="n">
        <v>800</v>
      </c>
      <c r="L21" s="18" t="n">
        <v>458</v>
      </c>
      <c r="M21" s="18" t="n">
        <v>2228</v>
      </c>
      <c r="N21" s="19">
        <f>SUM(B21:E21)</f>
        <v/>
      </c>
      <c r="O21" s="20">
        <f>SUM(B21:M21)</f>
        <v/>
      </c>
    </row>
    <row r="22">
      <c r="A22" s="4" t="inlineStr">
        <is>
          <t>2021/22</t>
        </is>
      </c>
      <c r="B22" s="18" t="n">
        <v>1844</v>
      </c>
      <c r="C22" s="18" t="n">
        <v>5220</v>
      </c>
      <c r="D22" s="18" t="n">
        <v>4651</v>
      </c>
      <c r="E22" s="18" t="n">
        <v>2842</v>
      </c>
      <c r="F22" s="18" t="n">
        <v>3196</v>
      </c>
      <c r="G22" s="18" t="n">
        <v>3063</v>
      </c>
      <c r="H22" s="18" t="n">
        <v>1448</v>
      </c>
      <c r="I22" s="18" t="n">
        <v>2500</v>
      </c>
      <c r="J22" s="18" t="n">
        <v>2200</v>
      </c>
      <c r="K22" s="18" t="n">
        <v>2200</v>
      </c>
      <c r="L22" s="18" t="n">
        <v>1300</v>
      </c>
      <c r="M22" s="18" t="n">
        <v>1100</v>
      </c>
      <c r="N22" s="19">
        <f>SUM(B22:E22)</f>
        <v/>
      </c>
      <c r="O22" s="20">
        <f>SUM(B22:M22)</f>
        <v/>
      </c>
    </row>
    <row r="23">
      <c r="A23" s="4" t="inlineStr">
        <is>
          <t>2022/23</t>
        </is>
      </c>
      <c r="B23" s="18" t="n">
        <v>2300</v>
      </c>
      <c r="C23" s="18" t="n">
        <v>3500</v>
      </c>
      <c r="D23" s="18" t="n">
        <v>4100</v>
      </c>
      <c r="E23" s="18" t="n">
        <v>4300</v>
      </c>
      <c r="F23" s="18" t="n">
        <v>4300</v>
      </c>
      <c r="G23" s="18" t="n">
        <v>4000</v>
      </c>
      <c r="H23" s="18" t="n">
        <v>3800</v>
      </c>
      <c r="I23" s="18" t="n">
        <v>2900</v>
      </c>
      <c r="J23" s="18" t="n">
        <v>4500</v>
      </c>
      <c r="K23" s="18" t="n">
        <v>4300</v>
      </c>
      <c r="L23" s="18" t="n">
        <v>4200</v>
      </c>
      <c r="M23" s="18" t="n">
        <v>3500</v>
      </c>
      <c r="N23" s="19">
        <f>SUM(B23:E23)</f>
        <v/>
      </c>
      <c r="O23" s="20">
        <f>SUM(B23:M23)</f>
        <v/>
      </c>
    </row>
    <row r="24">
      <c r="A24" s="4" t="inlineStr">
        <is>
          <t>2023/24</t>
        </is>
      </c>
      <c r="B24" s="18" t="n">
        <v>4400</v>
      </c>
      <c r="C24" s="18" t="n">
        <v>5300</v>
      </c>
      <c r="D24" s="18" t="n">
        <v>5100</v>
      </c>
      <c r="E24" s="18" t="n">
        <v>4600</v>
      </c>
      <c r="F24" s="18" t="n">
        <v>3400</v>
      </c>
      <c r="G24" s="18" t="n">
        <v>3700</v>
      </c>
      <c r="H24" s="18" t="n">
        <v>3600</v>
      </c>
      <c r="I24" s="18" t="n">
        <v>4100</v>
      </c>
      <c r="J24" s="18" t="n">
        <v>4800</v>
      </c>
      <c r="K24" s="18" t="n">
        <v>4600</v>
      </c>
      <c r="L24" s="18" t="n">
        <v>4400</v>
      </c>
      <c r="M24" s="18" t="n">
        <v>4000</v>
      </c>
      <c r="N24" s="19">
        <f>SUM(B24:E24)</f>
        <v/>
      </c>
      <c r="O24" s="20">
        <f>SUM(B24:M24)</f>
        <v/>
      </c>
    </row>
    <row r="25">
      <c r="A25" s="4" t="inlineStr">
        <is>
          <t>2024/25</t>
        </is>
      </c>
      <c r="B25" s="18" t="n">
        <v>3600</v>
      </c>
      <c r="C25" s="18" t="n">
        <v>5700</v>
      </c>
      <c r="D25" s="18" t="n">
        <v>5100</v>
      </c>
      <c r="E25" s="18" t="n">
        <v>5600</v>
      </c>
      <c r="F25" s="18" t="n">
        <v>4100</v>
      </c>
      <c r="G25" s="18" t="n">
        <v>3400</v>
      </c>
      <c r="H25" s="18" t="n">
        <v>2200</v>
      </c>
      <c r="I25" s="18" t="n">
        <v>1900</v>
      </c>
      <c r="J25" s="18" t="n">
        <v>1900</v>
      </c>
      <c r="K25" s="18" t="n">
        <v>2400</v>
      </c>
      <c r="L25" s="18" t="n">
        <v>1900</v>
      </c>
      <c r="M25" s="18" t="n">
        <v>1200</v>
      </c>
      <c r="N25" s="19">
        <f>SUM(B25:E25)</f>
        <v/>
      </c>
      <c r="O25" s="20">
        <f>SUM(B25:M25)</f>
        <v/>
      </c>
    </row>
    <row r="26">
      <c r="A26" s="4" t="inlineStr">
        <is>
          <t>2025/26</t>
        </is>
      </c>
      <c r="B26" s="18" t="n">
        <v>2000</v>
      </c>
      <c r="C26" s="18" t="n">
        <v>4400</v>
      </c>
      <c r="D26" s="18" t="n">
        <v>4600</v>
      </c>
      <c r="E26" s="18" t="n">
        <v>5100</v>
      </c>
      <c r="F26" s="18" t="n">
        <v>4800</v>
      </c>
      <c r="G26" s="18" t="n">
        <v>4200</v>
      </c>
      <c r="H26" s="18" t="n">
        <v>2900</v>
      </c>
      <c r="I26" s="18" t="n">
        <v>2900</v>
      </c>
      <c r="J26" s="18" t="n">
        <v>4700</v>
      </c>
      <c r="K26" s="18" t="n">
        <v>4000</v>
      </c>
      <c r="L26" s="18" t="n">
        <v>3100</v>
      </c>
      <c r="M26" s="18" t="n">
        <v>2200</v>
      </c>
      <c r="N26" s="19">
        <f>SUM(B26:E26)</f>
        <v/>
      </c>
      <c r="O26" s="20">
        <f>SUM(B26:M26)</f>
        <v/>
      </c>
    </row>
    <row r="27">
      <c r="A27" s="4" t="inlineStr">
        <is>
          <t>2026/27</t>
        </is>
      </c>
      <c r="B27" s="18" t="n">
        <v>1600</v>
      </c>
      <c r="C27" s="18" t="n">
        <v>2000</v>
      </c>
      <c r="D27" s="18" t="n">
        <v>2600</v>
      </c>
      <c r="E27" s="18" t="n">
        <v>2500</v>
      </c>
      <c r="F27" s="18" t="n"/>
      <c r="G27" s="18" t="n"/>
      <c r="H27" s="18" t="n"/>
      <c r="I27" s="18" t="n"/>
      <c r="J27" s="18" t="n"/>
      <c r="K27" s="18" t="n"/>
      <c r="L27" s="18" t="n"/>
      <c r="M27" s="18" t="n"/>
      <c r="N27" s="19">
        <f>SUM(B27:E27)</f>
        <v/>
      </c>
      <c r="O27" s="20">
        <f>SUM(B27:M27)</f>
        <v/>
      </c>
    </row>
    <row r="30">
      <c r="A30" s="10" t="inlineStr">
        <is>
          <t>RUSSIA — BARLEY (1,000 MT)</t>
        </is>
      </c>
      <c r="B30" s="11" t="inlineStr">
        <is>
          <t>Jul</t>
        </is>
      </c>
      <c r="C30" s="11" t="inlineStr">
        <is>
          <t>Aug</t>
        </is>
      </c>
      <c r="D30" s="11" t="inlineStr">
        <is>
          <t>Sep</t>
        </is>
      </c>
      <c r="E30" s="11" t="inlineStr">
        <is>
          <t>Oct</t>
        </is>
      </c>
      <c r="F30" s="11" t="inlineStr">
        <is>
          <t>Nov</t>
        </is>
      </c>
      <c r="G30" s="11" t="inlineStr">
        <is>
          <t>Dec</t>
        </is>
      </c>
      <c r="H30" s="11" t="inlineStr">
        <is>
          <t>Jan</t>
        </is>
      </c>
      <c r="I30" s="11" t="inlineStr">
        <is>
          <t>Feb</t>
        </is>
      </c>
      <c r="J30" s="11" t="inlineStr">
        <is>
          <t>Mar</t>
        </is>
      </c>
      <c r="K30" s="11" t="inlineStr">
        <is>
          <t>Apr</t>
        </is>
      </c>
      <c r="L30" s="11" t="inlineStr">
        <is>
          <t>May</t>
        </is>
      </c>
      <c r="M30" s="11" t="inlineStr">
        <is>
          <t>Jun</t>
        </is>
      </c>
      <c r="N30" s="11" t="inlineStr">
        <is>
          <t>Jul-Oct MYTD</t>
        </is>
      </c>
      <c r="O30" s="11" t="inlineStr">
        <is>
          <t>Full MY Total</t>
        </is>
      </c>
    </row>
    <row r="31">
      <c r="A31" s="4" t="inlineStr">
        <is>
          <t>2017/18</t>
        </is>
      </c>
      <c r="B31" s="18" t="n">
        <v>668</v>
      </c>
      <c r="C31" s="18" t="n">
        <v>721</v>
      </c>
      <c r="D31" s="18" t="n">
        <v>558</v>
      </c>
      <c r="E31" s="18" t="n">
        <v>576</v>
      </c>
      <c r="F31" s="18" t="n">
        <v>489</v>
      </c>
      <c r="G31" s="18" t="n">
        <v>507</v>
      </c>
      <c r="H31" s="18" t="n">
        <v>280</v>
      </c>
      <c r="I31" s="18" t="n">
        <v>306</v>
      </c>
      <c r="J31" s="18" t="n">
        <v>401</v>
      </c>
      <c r="K31" s="18" t="n">
        <v>350</v>
      </c>
      <c r="L31" s="18" t="n">
        <v>630</v>
      </c>
      <c r="M31" s="18" t="n">
        <v>360</v>
      </c>
      <c r="N31" s="19">
        <f>SUM(B31:E31)</f>
        <v/>
      </c>
      <c r="O31" s="20">
        <f>SUM(B31:M31)</f>
        <v/>
      </c>
    </row>
    <row r="32">
      <c r="A32" s="4" t="inlineStr">
        <is>
          <t>2018/19</t>
        </is>
      </c>
      <c r="B32" s="18" t="n">
        <v>645</v>
      </c>
      <c r="C32" s="18" t="n">
        <v>589</v>
      </c>
      <c r="D32" s="18" t="n">
        <v>482</v>
      </c>
      <c r="E32" s="18" t="n">
        <v>509</v>
      </c>
      <c r="F32" s="18" t="n">
        <v>517</v>
      </c>
      <c r="G32" s="18" t="n">
        <v>305</v>
      </c>
      <c r="H32" s="18" t="n">
        <v>366</v>
      </c>
      <c r="I32" s="18" t="n">
        <v>203</v>
      </c>
      <c r="J32" s="18" t="n">
        <v>273</v>
      </c>
      <c r="K32" s="18" t="n">
        <v>343</v>
      </c>
      <c r="L32" s="18" t="n">
        <v>260</v>
      </c>
      <c r="M32" s="18" t="n">
        <v>102</v>
      </c>
      <c r="N32" s="19">
        <f>SUM(B32:E32)</f>
        <v/>
      </c>
      <c r="O32" s="20">
        <f>SUM(B32:M32)</f>
        <v/>
      </c>
    </row>
    <row r="33">
      <c r="A33" s="4" t="inlineStr">
        <is>
          <t>2019/20</t>
        </is>
      </c>
      <c r="B33" s="18" t="n">
        <v>624</v>
      </c>
      <c r="C33" s="18" t="n">
        <v>421</v>
      </c>
      <c r="D33" s="18" t="n">
        <v>322</v>
      </c>
      <c r="E33" s="18" t="n">
        <v>272</v>
      </c>
      <c r="F33" s="18" t="n">
        <v>343</v>
      </c>
      <c r="G33" s="18" t="n">
        <v>297</v>
      </c>
      <c r="H33" s="18" t="n">
        <v>469</v>
      </c>
      <c r="I33" s="18" t="n">
        <v>242</v>
      </c>
      <c r="J33" s="18" t="n">
        <v>301</v>
      </c>
      <c r="K33" s="18" t="n">
        <v>450</v>
      </c>
      <c r="L33" s="18" t="n">
        <v>370</v>
      </c>
      <c r="M33" s="18" t="n">
        <v>100</v>
      </c>
      <c r="N33" s="19">
        <f>SUM(B33:E33)</f>
        <v/>
      </c>
      <c r="O33" s="20">
        <f>SUM(B33:M33)</f>
        <v/>
      </c>
    </row>
    <row r="34">
      <c r="A34" s="4" t="inlineStr">
        <is>
          <t>2020/21</t>
        </is>
      </c>
      <c r="B34" s="18" t="n">
        <v>712</v>
      </c>
      <c r="C34" s="18" t="n">
        <v>593</v>
      </c>
      <c r="D34" s="18" t="n">
        <v>885</v>
      </c>
      <c r="E34" s="18" t="n">
        <v>721</v>
      </c>
      <c r="F34" s="18" t="n">
        <v>396</v>
      </c>
      <c r="G34" s="18" t="n">
        <v>576</v>
      </c>
      <c r="H34" s="18" t="n">
        <v>224</v>
      </c>
      <c r="I34" s="18" t="n">
        <v>410</v>
      </c>
      <c r="J34" s="18" t="n">
        <v>780</v>
      </c>
      <c r="K34" s="18" t="n">
        <v>369</v>
      </c>
      <c r="L34" s="18" t="n">
        <v>551</v>
      </c>
      <c r="M34" s="18" t="n">
        <v>77</v>
      </c>
      <c r="N34" s="19">
        <f>SUM(B34:E34)</f>
        <v/>
      </c>
      <c r="O34" s="20">
        <f>SUM(B34:M34)</f>
        <v/>
      </c>
    </row>
    <row r="35">
      <c r="A35" s="4" t="inlineStr">
        <is>
          <t>2021/22</t>
        </is>
      </c>
      <c r="B35" s="18" t="n">
        <v>506</v>
      </c>
      <c r="C35" s="18" t="n">
        <v>564</v>
      </c>
      <c r="D35" s="18" t="n">
        <v>553</v>
      </c>
      <c r="E35" s="18" t="n">
        <v>292</v>
      </c>
      <c r="F35" s="18" t="n">
        <v>410</v>
      </c>
      <c r="G35" s="18" t="n">
        <v>437</v>
      </c>
      <c r="H35" s="18" t="n">
        <v>98</v>
      </c>
      <c r="I35" s="18" t="n">
        <v>100</v>
      </c>
      <c r="J35" s="18" t="n">
        <v>150</v>
      </c>
      <c r="K35" s="18" t="n">
        <v>150</v>
      </c>
      <c r="L35" s="18" t="n">
        <v>100</v>
      </c>
      <c r="M35" s="18" t="n">
        <v>150</v>
      </c>
      <c r="N35" s="19">
        <f>SUM(B35:E35)</f>
        <v/>
      </c>
      <c r="O35" s="20">
        <f>SUM(B35:M35)</f>
        <v/>
      </c>
    </row>
    <row r="36">
      <c r="A36" s="4" t="inlineStr">
        <is>
          <t>2022/23</t>
        </is>
      </c>
      <c r="B36" s="18" t="n">
        <v>200</v>
      </c>
      <c r="C36" s="18" t="n">
        <v>600</v>
      </c>
      <c r="D36" s="18" t="n">
        <v>300</v>
      </c>
      <c r="E36" s="18" t="n">
        <v>350</v>
      </c>
      <c r="F36" s="18" t="n">
        <v>400</v>
      </c>
      <c r="G36" s="18" t="n">
        <v>200</v>
      </c>
      <c r="H36" s="18" t="n">
        <v>100</v>
      </c>
      <c r="I36" s="18" t="n">
        <v>150</v>
      </c>
      <c r="J36" s="18" t="n">
        <v>150</v>
      </c>
      <c r="K36" s="18" t="n">
        <v>300</v>
      </c>
      <c r="L36" s="18" t="n">
        <v>250</v>
      </c>
      <c r="M36" s="18" t="n">
        <v>200</v>
      </c>
      <c r="N36" s="19">
        <f>SUM(B36:E36)</f>
        <v/>
      </c>
      <c r="O36" s="20">
        <f>SUM(B36:M36)</f>
        <v/>
      </c>
    </row>
    <row r="37">
      <c r="A37" s="4" t="inlineStr">
        <is>
          <t>2023/24</t>
        </is>
      </c>
      <c r="B37" s="18" t="n">
        <v>800</v>
      </c>
      <c r="C37" s="18" t="n">
        <v>600</v>
      </c>
      <c r="D37" s="18" t="n">
        <v>600</v>
      </c>
      <c r="E37" s="18" t="n">
        <v>300</v>
      </c>
      <c r="F37" s="18" t="n">
        <v>400</v>
      </c>
      <c r="G37" s="18" t="n">
        <v>200</v>
      </c>
      <c r="H37" s="18" t="n">
        <v>300</v>
      </c>
      <c r="I37" s="18" t="n">
        <v>200</v>
      </c>
      <c r="J37" s="18" t="n">
        <v>600</v>
      </c>
      <c r="K37" s="18" t="n">
        <v>500</v>
      </c>
      <c r="L37" s="18" t="n">
        <v>500</v>
      </c>
      <c r="M37" s="18" t="n">
        <v>300</v>
      </c>
      <c r="N37" s="19">
        <f>SUM(B37:E37)</f>
        <v/>
      </c>
      <c r="O37" s="20">
        <f>SUM(B37:M37)</f>
        <v/>
      </c>
    </row>
    <row r="38">
      <c r="A38" s="4" t="inlineStr">
        <is>
          <t>2024/25</t>
        </is>
      </c>
      <c r="B38" s="18" t="n">
        <v>600</v>
      </c>
      <c r="C38" s="18" t="n">
        <v>400</v>
      </c>
      <c r="D38" s="18" t="n">
        <v>400</v>
      </c>
      <c r="E38" s="18" t="n">
        <v>200</v>
      </c>
      <c r="F38" s="18" t="n">
        <v>200</v>
      </c>
      <c r="G38" s="18" t="n">
        <v>150</v>
      </c>
      <c r="H38" s="18" t="n">
        <v>200</v>
      </c>
      <c r="I38" s="18" t="n">
        <v>150</v>
      </c>
      <c r="J38" s="18" t="n">
        <v>0</v>
      </c>
      <c r="K38" s="18" t="n">
        <v>0</v>
      </c>
      <c r="L38" s="18" t="n">
        <v>0</v>
      </c>
      <c r="M38" s="18" t="n">
        <v>0</v>
      </c>
      <c r="N38" s="19">
        <f>SUM(B38:E38)</f>
        <v/>
      </c>
      <c r="O38" s="20">
        <f>SUM(B38:M38)</f>
        <v/>
      </c>
    </row>
    <row r="39">
      <c r="A39" s="4" t="inlineStr">
        <is>
          <t>2025/26</t>
        </is>
      </c>
      <c r="B39" s="18" t="n">
        <v>400</v>
      </c>
      <c r="C39" s="18" t="n">
        <v>500</v>
      </c>
      <c r="D39" s="18" t="n">
        <v>400</v>
      </c>
      <c r="E39" s="18" t="n">
        <v>200</v>
      </c>
      <c r="F39" s="18" t="n">
        <v>200</v>
      </c>
      <c r="G39" s="18" t="n">
        <v>200</v>
      </c>
      <c r="H39" s="18" t="n">
        <v>200</v>
      </c>
      <c r="I39" s="18" t="n">
        <v>300</v>
      </c>
      <c r="J39" s="18" t="n">
        <v>200</v>
      </c>
      <c r="K39" s="18" t="n">
        <v>250</v>
      </c>
      <c r="L39" s="18" t="n">
        <v>150</v>
      </c>
      <c r="M39" s="18" t="n">
        <v>100</v>
      </c>
      <c r="N39" s="19">
        <f>SUM(B39:E39)</f>
        <v/>
      </c>
      <c r="O39" s="20">
        <f>SUM(B39:M39)</f>
        <v/>
      </c>
    </row>
    <row r="40">
      <c r="A40" s="4" t="inlineStr">
        <is>
          <t>2026/27</t>
        </is>
      </c>
      <c r="B40" s="18" t="n">
        <v>150</v>
      </c>
      <c r="C40" s="18" t="n">
        <v>200</v>
      </c>
      <c r="D40" s="18" t="n">
        <v>250</v>
      </c>
      <c r="E40" s="18" t="n">
        <v>200</v>
      </c>
      <c r="F40" s="18" t="n"/>
      <c r="G40" s="18" t="n"/>
      <c r="H40" s="18" t="n"/>
      <c r="I40" s="18" t="n"/>
      <c r="J40" s="18" t="n"/>
      <c r="K40" s="18" t="n"/>
      <c r="L40" s="18" t="n"/>
      <c r="M40" s="18" t="n"/>
      <c r="N40" s="19">
        <f>SUM(B40:E40)</f>
        <v/>
      </c>
      <c r="O40" s="20">
        <f>SUM(B40:M40)</f>
        <v/>
      </c>
    </row>
    <row r="43">
      <c r="A43" s="10" t="inlineStr">
        <is>
          <t>RUSSIA — CORN (1,000 MT)</t>
        </is>
      </c>
      <c r="B43" s="11" t="inlineStr">
        <is>
          <t>Jul</t>
        </is>
      </c>
      <c r="C43" s="11" t="inlineStr">
        <is>
          <t>Aug</t>
        </is>
      </c>
      <c r="D43" s="11" t="inlineStr">
        <is>
          <t>Sep</t>
        </is>
      </c>
      <c r="E43" s="11" t="inlineStr">
        <is>
          <t>Oct</t>
        </is>
      </c>
      <c r="F43" s="11" t="inlineStr">
        <is>
          <t>Nov</t>
        </is>
      </c>
      <c r="G43" s="11" t="inlineStr">
        <is>
          <t>Dec</t>
        </is>
      </c>
      <c r="H43" s="11" t="inlineStr">
        <is>
          <t>Jan</t>
        </is>
      </c>
      <c r="I43" s="11" t="inlineStr">
        <is>
          <t>Feb</t>
        </is>
      </c>
      <c r="J43" s="11" t="inlineStr">
        <is>
          <t>Mar</t>
        </is>
      </c>
      <c r="K43" s="11" t="inlineStr">
        <is>
          <t>Apr</t>
        </is>
      </c>
      <c r="L43" s="11" t="inlineStr">
        <is>
          <t>May</t>
        </is>
      </c>
      <c r="M43" s="11" t="inlineStr">
        <is>
          <t>Jun</t>
        </is>
      </c>
      <c r="N43" s="11" t="inlineStr">
        <is>
          <t>Jul-Oct MYTD</t>
        </is>
      </c>
      <c r="O43" s="11" t="inlineStr">
        <is>
          <t>Full MY Total</t>
        </is>
      </c>
    </row>
    <row r="44">
      <c r="A44" s="4" t="inlineStr">
        <is>
          <t>2017/18</t>
        </is>
      </c>
      <c r="B44" s="18" t="n">
        <v>380</v>
      </c>
      <c r="C44" s="18" t="n">
        <v>123</v>
      </c>
      <c r="D44" s="18" t="n">
        <v>318</v>
      </c>
      <c r="E44" s="18" t="n">
        <v>409</v>
      </c>
      <c r="F44" s="18" t="n">
        <v>565</v>
      </c>
      <c r="G44" s="18" t="n">
        <v>523</v>
      </c>
      <c r="H44" s="18" t="n">
        <v>409</v>
      </c>
      <c r="I44" s="18" t="n">
        <v>535</v>
      </c>
      <c r="J44" s="18" t="n">
        <v>736</v>
      </c>
      <c r="K44" s="18" t="n">
        <v>637</v>
      </c>
      <c r="L44" s="18" t="n">
        <v>569</v>
      </c>
      <c r="M44" s="18" t="n">
        <v>583</v>
      </c>
      <c r="N44" s="19">
        <f>SUM(B44:E44)</f>
        <v/>
      </c>
      <c r="O44" s="20">
        <f>SUM(B44:M44)</f>
        <v/>
      </c>
    </row>
    <row r="45">
      <c r="A45" s="4" t="inlineStr">
        <is>
          <t>2018/19</t>
        </is>
      </c>
      <c r="B45" s="18" t="n">
        <v>265</v>
      </c>
      <c r="C45" s="18" t="n">
        <v>110</v>
      </c>
      <c r="D45" s="18" t="n">
        <v>98</v>
      </c>
      <c r="E45" s="18" t="n">
        <v>166</v>
      </c>
      <c r="F45" s="18" t="n">
        <v>282</v>
      </c>
      <c r="G45" s="18" t="n">
        <v>338</v>
      </c>
      <c r="H45" s="18" t="n">
        <v>267</v>
      </c>
      <c r="I45" s="18" t="n">
        <v>276</v>
      </c>
      <c r="J45" s="18" t="n">
        <v>282</v>
      </c>
      <c r="K45" s="18" t="n">
        <v>218</v>
      </c>
      <c r="L45" s="18" t="n">
        <v>204</v>
      </c>
      <c r="M45" s="18" t="n">
        <v>255</v>
      </c>
      <c r="N45" s="19">
        <f>SUM(B45:E45)</f>
        <v/>
      </c>
      <c r="O45" s="20">
        <f>SUM(B45:M45)</f>
        <v/>
      </c>
    </row>
    <row r="46">
      <c r="A46" s="4" t="inlineStr">
        <is>
          <t>2019/20</t>
        </is>
      </c>
      <c r="B46" s="18" t="n">
        <v>215</v>
      </c>
      <c r="C46" s="18" t="n">
        <v>109</v>
      </c>
      <c r="D46" s="18" t="n">
        <v>149</v>
      </c>
      <c r="E46" s="18" t="n">
        <v>339</v>
      </c>
      <c r="F46" s="18" t="n">
        <v>366</v>
      </c>
      <c r="G46" s="18" t="n">
        <v>442</v>
      </c>
      <c r="H46" s="18" t="n">
        <v>352</v>
      </c>
      <c r="I46" s="18" t="n">
        <v>336</v>
      </c>
      <c r="J46" s="18" t="n">
        <v>551</v>
      </c>
      <c r="K46" s="18" t="n">
        <v>867</v>
      </c>
      <c r="L46" s="18" t="n">
        <v>340</v>
      </c>
      <c r="M46" s="18" t="n">
        <v>100</v>
      </c>
      <c r="N46" s="19">
        <f>SUM(B46:E46)</f>
        <v/>
      </c>
      <c r="O46" s="20">
        <f>SUM(B46:M46)</f>
        <v/>
      </c>
    </row>
    <row r="47">
      <c r="A47" s="4" t="inlineStr">
        <is>
          <t>2020/21</t>
        </is>
      </c>
      <c r="B47" s="18" t="n">
        <v>250</v>
      </c>
      <c r="C47" s="18" t="n">
        <v>156</v>
      </c>
      <c r="D47" s="18" t="n">
        <v>88</v>
      </c>
      <c r="E47" s="18" t="n">
        <v>142</v>
      </c>
      <c r="F47" s="18" t="n">
        <v>333</v>
      </c>
      <c r="G47" s="18" t="n">
        <v>393</v>
      </c>
      <c r="H47" s="18" t="n">
        <v>385</v>
      </c>
      <c r="I47" s="18" t="n">
        <v>474</v>
      </c>
      <c r="J47" s="18" t="n">
        <v>984</v>
      </c>
      <c r="K47" s="18" t="n">
        <v>287</v>
      </c>
      <c r="L47" s="18" t="n">
        <v>551</v>
      </c>
      <c r="M47" s="18" t="n">
        <v>201</v>
      </c>
      <c r="N47" s="19">
        <f>SUM(B47:E47)</f>
        <v/>
      </c>
      <c r="O47" s="20">
        <f>SUM(B47:M47)</f>
        <v/>
      </c>
    </row>
    <row r="48">
      <c r="A48" s="4" t="inlineStr">
        <is>
          <t>2021/22</t>
        </is>
      </c>
      <c r="B48" s="18" t="n">
        <v>134</v>
      </c>
      <c r="C48" s="18" t="n">
        <v>68</v>
      </c>
      <c r="D48" s="18" t="n">
        <v>79</v>
      </c>
      <c r="E48" s="18" t="n">
        <v>252</v>
      </c>
      <c r="F48" s="18" t="n">
        <v>352</v>
      </c>
      <c r="G48" s="18" t="n">
        <v>412</v>
      </c>
      <c r="H48" s="18" t="n">
        <v>282</v>
      </c>
      <c r="I48" s="18" t="n">
        <v>200</v>
      </c>
      <c r="J48" s="18" t="n">
        <v>300</v>
      </c>
      <c r="K48" s="18" t="n">
        <v>350</v>
      </c>
      <c r="L48" s="18" t="n">
        <v>400</v>
      </c>
      <c r="M48" s="18" t="n">
        <v>350</v>
      </c>
      <c r="N48" s="19">
        <f>SUM(B48:E48)</f>
        <v/>
      </c>
      <c r="O48" s="20">
        <f>SUM(B48:M48)</f>
        <v/>
      </c>
    </row>
    <row r="49">
      <c r="A49" s="4" t="inlineStr">
        <is>
          <t>2022/23</t>
        </is>
      </c>
      <c r="B49" s="18" t="n">
        <v>150</v>
      </c>
      <c r="C49" s="18" t="n">
        <v>100</v>
      </c>
      <c r="D49" s="18" t="n">
        <v>50</v>
      </c>
      <c r="E49" s="18" t="n">
        <v>50</v>
      </c>
      <c r="F49" s="18" t="n">
        <v>150</v>
      </c>
      <c r="G49" s="18" t="n">
        <v>300</v>
      </c>
      <c r="H49" s="18" t="n">
        <v>500</v>
      </c>
      <c r="I49" s="18" t="n">
        <v>450</v>
      </c>
      <c r="J49" s="18" t="n">
        <v>700</v>
      </c>
      <c r="K49" s="18" t="n">
        <v>650</v>
      </c>
      <c r="L49" s="18" t="n">
        <v>550</v>
      </c>
      <c r="M49" s="18" t="n">
        <v>300</v>
      </c>
      <c r="N49" s="19">
        <f>SUM(B49:E49)</f>
        <v/>
      </c>
      <c r="O49" s="20">
        <f>SUM(B49:M49)</f>
        <v/>
      </c>
    </row>
    <row r="50">
      <c r="A50" s="4" t="inlineStr">
        <is>
          <t>2023/24</t>
        </is>
      </c>
      <c r="B50" s="18" t="n">
        <v>400</v>
      </c>
      <c r="C50" s="18" t="n">
        <v>200</v>
      </c>
      <c r="D50" s="18" t="n">
        <v>200</v>
      </c>
      <c r="E50" s="18" t="n">
        <v>500</v>
      </c>
      <c r="F50" s="18" t="n">
        <v>500</v>
      </c>
      <c r="G50" s="18" t="n">
        <v>500</v>
      </c>
      <c r="H50" s="18" t="n">
        <v>700</v>
      </c>
      <c r="I50" s="18" t="n">
        <v>600</v>
      </c>
      <c r="J50" s="18" t="n">
        <v>700</v>
      </c>
      <c r="K50" s="18" t="n">
        <v>600</v>
      </c>
      <c r="L50" s="18" t="n">
        <v>600</v>
      </c>
      <c r="M50" s="18" t="n">
        <v>400</v>
      </c>
      <c r="N50" s="19">
        <f>SUM(B50:E50)</f>
        <v/>
      </c>
      <c r="O50" s="20">
        <f>SUM(B50:M50)</f>
        <v/>
      </c>
    </row>
    <row r="51">
      <c r="A51" s="4" t="inlineStr">
        <is>
          <t>2024/25</t>
        </is>
      </c>
      <c r="B51" s="18" t="n">
        <v>300</v>
      </c>
      <c r="C51" s="18" t="n">
        <v>200</v>
      </c>
      <c r="D51" s="18" t="n">
        <v>300</v>
      </c>
      <c r="E51" s="18" t="n">
        <v>250</v>
      </c>
      <c r="F51" s="18" t="n">
        <v>300</v>
      </c>
      <c r="G51" s="18" t="n">
        <v>250</v>
      </c>
      <c r="H51" s="18" t="n">
        <v>350</v>
      </c>
      <c r="I51" s="18" t="n">
        <v>150</v>
      </c>
      <c r="J51" s="18" t="n">
        <v>0</v>
      </c>
      <c r="K51" s="18" t="n">
        <v>0</v>
      </c>
      <c r="L51" s="18" t="n">
        <v>0</v>
      </c>
      <c r="M51" s="18" t="n">
        <v>0</v>
      </c>
      <c r="N51" s="19">
        <f>SUM(B51:E51)</f>
        <v/>
      </c>
      <c r="O51" s="20">
        <f>SUM(B51:M51)</f>
        <v/>
      </c>
    </row>
    <row r="52">
      <c r="A52" s="4" t="inlineStr">
        <is>
          <t>2025/26</t>
        </is>
      </c>
      <c r="B52" s="18" t="n">
        <v>500</v>
      </c>
      <c r="C52" s="18" t="n">
        <v>200</v>
      </c>
      <c r="D52" s="18" t="n">
        <v>150</v>
      </c>
      <c r="E52" s="18" t="n">
        <v>100</v>
      </c>
      <c r="F52" s="18" t="n">
        <v>200</v>
      </c>
      <c r="G52" s="18" t="n">
        <v>200</v>
      </c>
      <c r="H52" s="18" t="n">
        <v>200</v>
      </c>
      <c r="I52" s="18" t="n">
        <v>300</v>
      </c>
      <c r="J52" s="18" t="n">
        <v>400</v>
      </c>
      <c r="K52" s="18" t="n">
        <v>300</v>
      </c>
      <c r="L52" s="18" t="n">
        <v>350</v>
      </c>
      <c r="M52" s="18" t="n">
        <v>350</v>
      </c>
      <c r="N52" s="19">
        <f>SUM(B52:E52)</f>
        <v/>
      </c>
      <c r="O52" s="20">
        <f>SUM(B52:M52)</f>
        <v/>
      </c>
    </row>
    <row r="53">
      <c r="A53" s="4" t="inlineStr">
        <is>
          <t>2026/27</t>
        </is>
      </c>
      <c r="B53" s="18" t="n">
        <v>200</v>
      </c>
      <c r="C53" s="18" t="n">
        <v>200</v>
      </c>
      <c r="D53" s="18" t="n">
        <v>100</v>
      </c>
      <c r="E53" s="18" t="n">
        <v>100</v>
      </c>
      <c r="F53" s="18" t="n"/>
      <c r="G53" s="18" t="n"/>
      <c r="H53" s="18" t="n"/>
      <c r="I53" s="18" t="n"/>
      <c r="J53" s="18" t="n"/>
      <c r="K53" s="18" t="n"/>
      <c r="L53" s="18" t="n"/>
      <c r="M53" s="18" t="n"/>
      <c r="N53" s="19">
        <f>SUM(B53:E53)</f>
        <v/>
      </c>
      <c r="O53" s="20">
        <f>SUM(B53:M53)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5" customWidth="1" min="4" max="4"/>
    <col width="16" customWidth="1" min="5" max="5"/>
    <col width="14" customWidth="1" min="6" max="6"/>
    <col width="20" customWidth="1" min="7" max="7"/>
    <col width="20" customWidth="1" min="8" max="8"/>
    <col width="22" customWidth="1" min="9" max="9"/>
    <col width="28" customWidth="1" min="10" max="10"/>
    <col width="45" customWidth="1" min="11" max="11"/>
  </cols>
  <sheetData>
    <row r="1">
      <c r="A1" s="3" t="inlineStr">
        <is>
          <t>Report Date</t>
        </is>
      </c>
      <c r="B1" s="3" t="inlineStr">
        <is>
          <t>Country</t>
        </is>
      </c>
      <c r="C1" s="3" t="inlineStr">
        <is>
          <t>Agency</t>
        </is>
      </c>
      <c r="D1" s="3" t="inlineStr">
        <is>
          <t>Marketing Year</t>
        </is>
      </c>
      <c r="E1" s="3" t="inlineStr">
        <is>
          <t>Commodity</t>
        </is>
      </c>
      <c r="F1" s="3" t="inlineStr">
        <is>
          <t>Metric</t>
        </is>
      </c>
      <c r="G1" s="3" t="inlineStr">
        <is>
          <t>Current Forecast (MMT)</t>
        </is>
      </c>
      <c r="H1" s="3" t="inlineStr">
        <is>
          <t>Prior Forecast (MMT)</t>
        </is>
      </c>
      <c r="I1" s="3" t="inlineStr">
        <is>
          <t>Revision Delta (Formula)</t>
        </is>
      </c>
      <c r="J1" s="3" t="inlineStr">
        <is>
          <t>Territorial Scope</t>
        </is>
      </c>
      <c r="K1" s="3" t="inlineStr">
        <is>
          <t>Notes / Source</t>
        </is>
      </c>
    </row>
    <row r="2">
      <c r="A2" s="21" t="inlineStr">
        <is>
          <t>2026-06-05</t>
        </is>
      </c>
      <c r="B2" s="21" t="inlineStr">
        <is>
          <t>Russia</t>
        </is>
      </c>
      <c r="C2" s="4" t="inlineStr">
        <is>
          <t>IKAR</t>
        </is>
      </c>
      <c r="D2" s="21" t="inlineStr">
        <is>
          <t>2026/27</t>
        </is>
      </c>
      <c r="E2" s="4" t="inlineStr">
        <is>
          <t>Total Grains</t>
        </is>
      </c>
      <c r="F2" s="21" t="inlineStr">
        <is>
          <t>Production</t>
        </is>
      </c>
      <c r="G2" s="8" t="n">
        <v>142.5</v>
      </c>
      <c r="H2" s="21" t="inlineStr">
        <is>
          <t>N/A</t>
        </is>
      </c>
      <c r="I2" s="21" t="inlineStr">
        <is>
          <t>N/A</t>
        </is>
      </c>
      <c r="J2" s="21" t="inlineStr">
        <is>
          <t>Excl. Crimea/New Regions</t>
        </is>
      </c>
      <c r="K2" s="21" t="inlineStr">
        <is>
          <t>Early June baseline cited by IKAR on July 24</t>
        </is>
      </c>
    </row>
    <row r="3">
      <c r="A3" s="21" t="inlineStr">
        <is>
          <t>2026-06-05</t>
        </is>
      </c>
      <c r="B3" s="21" t="inlineStr">
        <is>
          <t>Russia</t>
        </is>
      </c>
      <c r="C3" s="4" t="inlineStr">
        <is>
          <t>IKAR</t>
        </is>
      </c>
      <c r="D3" s="21" t="inlineStr">
        <is>
          <t>2026/27</t>
        </is>
      </c>
      <c r="E3" s="4" t="inlineStr">
        <is>
          <t>Wheat</t>
        </is>
      </c>
      <c r="F3" s="21" t="inlineStr">
        <is>
          <t>Production</t>
        </is>
      </c>
      <c r="G3" s="8" t="n">
        <v>91.5</v>
      </c>
      <c r="H3" s="21" t="inlineStr">
        <is>
          <t>N/A</t>
        </is>
      </c>
      <c r="I3" s="21" t="inlineStr">
        <is>
          <t>N/A</t>
        </is>
      </c>
      <c r="J3" s="21" t="inlineStr">
        <is>
          <t>Excl. Crimea/New Regions</t>
        </is>
      </c>
      <c r="K3" s="21" t="inlineStr">
        <is>
          <t>Early June baseline cited by IKAR on July 24</t>
        </is>
      </c>
    </row>
    <row r="4">
      <c r="A4" s="21" t="inlineStr">
        <is>
          <t>2026-06-05</t>
        </is>
      </c>
      <c r="B4" s="21" t="inlineStr">
        <is>
          <t>Russia</t>
        </is>
      </c>
      <c r="C4" s="4" t="inlineStr">
        <is>
          <t>IKAR</t>
        </is>
      </c>
      <c r="D4" s="21" t="inlineStr">
        <is>
          <t>2026/27</t>
        </is>
      </c>
      <c r="E4" s="4" t="inlineStr">
        <is>
          <t>Total Grains</t>
        </is>
      </c>
      <c r="F4" s="21" t="inlineStr">
        <is>
          <t>Exports</t>
        </is>
      </c>
      <c r="G4" s="8" t="n">
        <v>63.7</v>
      </c>
      <c r="H4" s="21" t="inlineStr">
        <is>
          <t>N/A</t>
        </is>
      </c>
      <c r="I4" s="21" t="inlineStr">
        <is>
          <t>N/A</t>
        </is>
      </c>
      <c r="J4" s="21" t="inlineStr">
        <is>
          <t>Excl. Crimea/New Regions</t>
        </is>
      </c>
      <c r="K4" s="21" t="inlineStr">
        <is>
          <t>Early June export potential baseline</t>
        </is>
      </c>
    </row>
    <row r="5">
      <c r="A5" s="21" t="inlineStr">
        <is>
          <t>2026-06-05</t>
        </is>
      </c>
      <c r="B5" s="21" t="inlineStr">
        <is>
          <t>Russia</t>
        </is>
      </c>
      <c r="C5" s="4" t="inlineStr">
        <is>
          <t>IKAR</t>
        </is>
      </c>
      <c r="D5" s="21" t="inlineStr">
        <is>
          <t>2026/27</t>
        </is>
      </c>
      <c r="E5" s="4" t="inlineStr">
        <is>
          <t>Wheat</t>
        </is>
      </c>
      <c r="F5" s="21" t="inlineStr">
        <is>
          <t>Exports</t>
        </is>
      </c>
      <c r="G5" s="8" t="n">
        <v>47.5</v>
      </c>
      <c r="H5" s="21" t="inlineStr">
        <is>
          <t>N/A</t>
        </is>
      </c>
      <c r="I5" s="21" t="inlineStr">
        <is>
          <t>N/A</t>
        </is>
      </c>
      <c r="J5" s="21" t="inlineStr">
        <is>
          <t>Excl. Crimea/New Regions</t>
        </is>
      </c>
      <c r="K5" s="21" t="inlineStr">
        <is>
          <t>Early June wheat export potential baseline</t>
        </is>
      </c>
    </row>
    <row r="6">
      <c r="A6" s="21" t="inlineStr">
        <is>
          <t>2026-07-24</t>
        </is>
      </c>
      <c r="B6" s="21" t="inlineStr">
        <is>
          <t>Russia</t>
        </is>
      </c>
      <c r="C6" s="4" t="inlineStr">
        <is>
          <t>IKAR</t>
        </is>
      </c>
      <c r="D6" s="21" t="inlineStr">
        <is>
          <t>2026/27</t>
        </is>
      </c>
      <c r="E6" s="4" t="inlineStr">
        <is>
          <t>Total Grains</t>
        </is>
      </c>
      <c r="F6" s="21" t="inlineStr">
        <is>
          <t>Production</t>
        </is>
      </c>
      <c r="G6" s="8" t="n">
        <v>139</v>
      </c>
      <c r="H6" s="8" t="n">
        <v>142.5</v>
      </c>
      <c r="I6" s="22">
        <f>G6-H6</f>
        <v/>
      </c>
      <c r="J6" s="21" t="inlineStr">
        <is>
          <t>Excl. Crimea/New Regions</t>
        </is>
      </c>
      <c r="K6" s="21" t="inlineStr">
        <is>
          <t>Trimmed on difficult weather in Siberia &amp; Urals</t>
        </is>
      </c>
    </row>
    <row r="7">
      <c r="A7" s="21" t="inlineStr">
        <is>
          <t>2026-07-24</t>
        </is>
      </c>
      <c r="B7" s="21" t="inlineStr">
        <is>
          <t>Russia</t>
        </is>
      </c>
      <c r="C7" s="4" t="inlineStr">
        <is>
          <t>IKAR</t>
        </is>
      </c>
      <c r="D7" s="21" t="inlineStr">
        <is>
          <t>2026/27</t>
        </is>
      </c>
      <c r="E7" s="4" t="inlineStr">
        <is>
          <t>Wheat</t>
        </is>
      </c>
      <c r="F7" s="21" t="inlineStr">
        <is>
          <t>Production</t>
        </is>
      </c>
      <c r="G7" s="8" t="n">
        <v>90</v>
      </c>
      <c r="H7" s="8" t="n">
        <v>91.5</v>
      </c>
      <c r="I7" s="22">
        <f>G7-H7</f>
        <v/>
      </c>
      <c r="J7" s="21" t="inlineStr">
        <is>
          <t>Excl. Crimea/New Regions</t>
        </is>
      </c>
      <c r="K7" s="21" t="inlineStr">
        <is>
          <t>Trimmed on Siberia/Urals spring wheat weather</t>
        </is>
      </c>
    </row>
    <row r="8">
      <c r="A8" s="21" t="inlineStr">
        <is>
          <t>2026-07-24</t>
        </is>
      </c>
      <c r="B8" s="21" t="inlineStr">
        <is>
          <t>Russia</t>
        </is>
      </c>
      <c r="C8" s="4" t="inlineStr">
        <is>
          <t>IKAR</t>
        </is>
      </c>
      <c r="D8" s="21" t="inlineStr">
        <is>
          <t>2026/27</t>
        </is>
      </c>
      <c r="E8" s="4" t="inlineStr">
        <is>
          <t>Total Grains</t>
        </is>
      </c>
      <c r="F8" s="21" t="inlineStr">
        <is>
          <t>Exports</t>
        </is>
      </c>
      <c r="G8" s="8" t="n">
        <v>58.5</v>
      </c>
      <c r="H8" s="8" t="n">
        <v>63.7</v>
      </c>
      <c r="I8" s="22">
        <f>G8-H8</f>
        <v/>
      </c>
      <c r="J8" s="21" t="inlineStr">
        <is>
          <t>Excl. Crimea/New Regions</t>
        </is>
      </c>
      <c r="K8" s="21" t="inlineStr">
        <is>
          <t>Export potential lowered with smaller crop</t>
        </is>
      </c>
    </row>
    <row r="9">
      <c r="A9" s="21" t="inlineStr">
        <is>
          <t>2026-07-24</t>
        </is>
      </c>
      <c r="B9" s="21" t="inlineStr">
        <is>
          <t>Russia</t>
        </is>
      </c>
      <c r="C9" s="4" t="inlineStr">
        <is>
          <t>IKAR</t>
        </is>
      </c>
      <c r="D9" s="21" t="inlineStr">
        <is>
          <t>2026/27</t>
        </is>
      </c>
      <c r="E9" s="4" t="inlineStr">
        <is>
          <t>Wheat</t>
        </is>
      </c>
      <c r="F9" s="21" t="inlineStr">
        <is>
          <t>Exports</t>
        </is>
      </c>
      <c r="G9" s="8" t="n">
        <v>44.5</v>
      </c>
      <c r="H9" s="8" t="n">
        <v>47.5</v>
      </c>
      <c r="I9" s="22">
        <f>G9-H9</f>
        <v/>
      </c>
      <c r="J9" s="21" t="inlineStr">
        <is>
          <t>Excl. Crimea/New Regions</t>
        </is>
      </c>
      <c r="K9" s="21" t="inlineStr">
        <is>
          <t>Wheat export potential cut to 44.5 MMT</t>
        </is>
      </c>
    </row>
    <row r="10">
      <c r="A10" s="21" t="inlineStr">
        <is>
          <t>2026-08-11</t>
        </is>
      </c>
      <c r="B10" s="21" t="inlineStr">
        <is>
          <t>Russia</t>
        </is>
      </c>
      <c r="C10" s="4" t="inlineStr">
        <is>
          <t>IKAR</t>
        </is>
      </c>
      <c r="D10" s="21" t="inlineStr">
        <is>
          <t>2026/27</t>
        </is>
      </c>
      <c r="E10" s="4" t="inlineStr">
        <is>
          <t>Total Grains</t>
        </is>
      </c>
      <c r="F10" s="21" t="inlineStr">
        <is>
          <t>Production</t>
        </is>
      </c>
      <c r="G10" s="8" t="n">
        <v>138.5</v>
      </c>
      <c r="H10" s="8" t="n">
        <v>140</v>
      </c>
      <c r="I10" s="22">
        <f>G10-H10</f>
        <v/>
      </c>
      <c r="J10" s="21" t="inlineStr">
        <is>
          <t>Excl. Crimea/New Regions</t>
        </is>
      </c>
      <c r="K10" s="21" t="inlineStr">
        <is>
          <t>Smaller spring wheat planting areas</t>
        </is>
      </c>
    </row>
    <row r="11">
      <c r="A11" s="21" t="inlineStr">
        <is>
          <t>2026-08-11</t>
        </is>
      </c>
      <c r="B11" s="21" t="inlineStr">
        <is>
          <t>Russia</t>
        </is>
      </c>
      <c r="C11" s="4" t="inlineStr">
        <is>
          <t>IKAR</t>
        </is>
      </c>
      <c r="D11" s="21" t="inlineStr">
        <is>
          <t>2026/27</t>
        </is>
      </c>
      <c r="E11" s="4" t="inlineStr">
        <is>
          <t>Wheat</t>
        </is>
      </c>
      <c r="F11" s="21" t="inlineStr">
        <is>
          <t>Production</t>
        </is>
      </c>
      <c r="G11" s="8" t="n">
        <v>90</v>
      </c>
      <c r="H11" s="8" t="n">
        <v>90.5</v>
      </c>
      <c r="I11" s="22">
        <f>G11-H11</f>
        <v/>
      </c>
      <c r="J11" s="21" t="inlineStr">
        <is>
          <t>Excl. Crimea/New Regions</t>
        </is>
      </c>
      <c r="K11" s="21" t="inlineStr">
        <is>
          <t>Cut from interim 90.5 MMT to 90.0 MMT</t>
        </is>
      </c>
    </row>
    <row r="12">
      <c r="A12" s="21" t="inlineStr">
        <is>
          <t>2026-08-11</t>
        </is>
      </c>
      <c r="B12" s="21" t="inlineStr">
        <is>
          <t>Russia</t>
        </is>
      </c>
      <c r="C12" s="4" t="inlineStr">
        <is>
          <t>IKAR</t>
        </is>
      </c>
      <c r="D12" s="21" t="inlineStr">
        <is>
          <t>2026/27</t>
        </is>
      </c>
      <c r="E12" s="4" t="inlineStr">
        <is>
          <t>Total Grains</t>
        </is>
      </c>
      <c r="F12" s="21" t="inlineStr">
        <is>
          <t>Exports</t>
        </is>
      </c>
      <c r="G12" s="8" t="n">
        <v>60</v>
      </c>
      <c r="H12" s="8" t="n">
        <v>61.5</v>
      </c>
      <c r="I12" s="22">
        <f>G12-H12</f>
        <v/>
      </c>
      <c r="J12" s="21" t="inlineStr">
        <is>
          <t>Excl. Crimea/New Regions</t>
        </is>
      </c>
      <c r="K12" s="21" t="inlineStr">
        <is>
          <t>All-grain export potential trimmed to 60.0 MMT</t>
        </is>
      </c>
    </row>
    <row r="13">
      <c r="A13" s="21" t="inlineStr">
        <is>
          <t>2026-08-11</t>
        </is>
      </c>
      <c r="B13" s="21" t="inlineStr">
        <is>
          <t>Russia</t>
        </is>
      </c>
      <c r="C13" s="4" t="inlineStr">
        <is>
          <t>IKAR</t>
        </is>
      </c>
      <c r="D13" s="21" t="inlineStr">
        <is>
          <t>2026/27</t>
        </is>
      </c>
      <c r="E13" s="4" t="inlineStr">
        <is>
          <t>Wheat</t>
        </is>
      </c>
      <c r="F13" s="21" t="inlineStr">
        <is>
          <t>Exports</t>
        </is>
      </c>
      <c r="G13" s="8" t="n">
        <v>44.5</v>
      </c>
      <c r="H13" s="8" t="n">
        <v>45</v>
      </c>
      <c r="I13" s="22">
        <f>G13-H13</f>
        <v/>
      </c>
      <c r="J13" s="21" t="inlineStr">
        <is>
          <t>Excl. Crimea/New Regions</t>
        </is>
      </c>
      <c r="K13" s="21" t="inlineStr">
        <is>
          <t>Wheat export potential at 44.5 MMT</t>
        </is>
      </c>
    </row>
    <row r="14">
      <c r="A14" s="21" t="inlineStr">
        <is>
          <t>2026-10-12</t>
        </is>
      </c>
      <c r="B14" s="21" t="inlineStr">
        <is>
          <t>Russia</t>
        </is>
      </c>
      <c r="C14" s="4" t="inlineStr">
        <is>
          <t>IKAR</t>
        </is>
      </c>
      <c r="D14" s="21" t="inlineStr">
        <is>
          <t>2026/27</t>
        </is>
      </c>
      <c r="E14" s="4" t="inlineStr">
        <is>
          <t>Total Grains</t>
        </is>
      </c>
      <c r="F14" s="21" t="inlineStr">
        <is>
          <t>Production</t>
        </is>
      </c>
      <c r="G14" s="8" t="n">
        <v>137</v>
      </c>
      <c r="H14" s="8" t="n">
        <v>138</v>
      </c>
      <c r="I14" s="22">
        <f>G14-H14</f>
        <v/>
      </c>
      <c r="J14" s="21" t="inlineStr">
        <is>
          <t>Excl. Crimea/New Regions</t>
        </is>
      </c>
      <c r="K14" s="21" t="inlineStr">
        <is>
          <t>Latest Oct 12 revision (Screenshot 2)</t>
        </is>
      </c>
    </row>
    <row r="15">
      <c r="A15" s="21" t="inlineStr">
        <is>
          <t>2026-10-12</t>
        </is>
      </c>
      <c r="B15" s="21" t="inlineStr">
        <is>
          <t>Russia</t>
        </is>
      </c>
      <c r="C15" s="4" t="inlineStr">
        <is>
          <t>IKAR</t>
        </is>
      </c>
      <c r="D15" s="21" t="inlineStr">
        <is>
          <t>2026/27</t>
        </is>
      </c>
      <c r="E15" s="4" t="inlineStr">
        <is>
          <t>Wheat</t>
        </is>
      </c>
      <c r="F15" s="21" t="inlineStr">
        <is>
          <t>Production</t>
        </is>
      </c>
      <c r="G15" s="8" t="n">
        <v>88</v>
      </c>
      <c r="H15" s="8" t="n">
        <v>88.5</v>
      </c>
      <c r="I15" s="22">
        <f>G15-H15</f>
        <v/>
      </c>
      <c r="J15" s="21" t="inlineStr">
        <is>
          <t>Excl. Crimea/New Regions</t>
        </is>
      </c>
      <c r="K15" s="21" t="inlineStr">
        <is>
          <t>Latest Oct 12 revision: 88.0 MMT down from 88.5 MMT</t>
        </is>
      </c>
    </row>
    <row r="16">
      <c r="A16" s="21" t="inlineStr">
        <is>
          <t>2026-10-12</t>
        </is>
      </c>
      <c r="B16" s="21" t="inlineStr">
        <is>
          <t>Russia</t>
        </is>
      </c>
      <c r="C16" s="4" t="inlineStr">
        <is>
          <t>IKAR</t>
        </is>
      </c>
      <c r="D16" s="21" t="inlineStr">
        <is>
          <t>2026/27</t>
        </is>
      </c>
      <c r="E16" s="4" t="inlineStr">
        <is>
          <t>Total Grains</t>
        </is>
      </c>
      <c r="F16" s="21" t="inlineStr">
        <is>
          <t>Exports</t>
        </is>
      </c>
      <c r="G16" s="8" t="n">
        <v>52.8</v>
      </c>
      <c r="H16" s="8" t="n">
        <v>55</v>
      </c>
      <c r="I16" s="22">
        <f>G16-H16</f>
        <v/>
      </c>
      <c r="J16" s="21" t="inlineStr">
        <is>
          <t>Excl. Crimea/New Regions</t>
        </is>
      </c>
      <c r="K16" s="21" t="inlineStr">
        <is>
          <t>Cut on Azov-Black Sea port disruptions (stress case: 35 MMT)</t>
        </is>
      </c>
    </row>
    <row r="17">
      <c r="A17" s="21" t="inlineStr">
        <is>
          <t>2026-10-12</t>
        </is>
      </c>
      <c r="B17" s="21" t="inlineStr">
        <is>
          <t>Russia</t>
        </is>
      </c>
      <c r="C17" s="4" t="inlineStr">
        <is>
          <t>IKAR</t>
        </is>
      </c>
      <c r="D17" s="21" t="inlineStr">
        <is>
          <t>2026/27</t>
        </is>
      </c>
      <c r="E17" s="4" t="inlineStr">
        <is>
          <t>Wheat</t>
        </is>
      </c>
      <c r="F17" s="21" t="inlineStr">
        <is>
          <t>Exports</t>
        </is>
      </c>
      <c r="G17" s="8" t="n">
        <v>42</v>
      </c>
      <c r="H17" s="8" t="n">
        <v>43.5</v>
      </c>
      <c r="I17" s="22">
        <f>G17-H17</f>
        <v/>
      </c>
      <c r="J17" s="21" t="inlineStr">
        <is>
          <t>Excl. Crimea/New Regions</t>
        </is>
      </c>
      <c r="K17" s="21" t="inlineStr">
        <is>
          <t>Cut from 43.5 MMT to 42.0 MMT</t>
        </is>
      </c>
    </row>
    <row r="18">
      <c r="A18" s="21" t="inlineStr">
        <is>
          <t>2026-09-30</t>
        </is>
      </c>
      <c r="B18" s="21" t="inlineStr">
        <is>
          <t>Russia</t>
        </is>
      </c>
      <c r="C18" s="4" t="inlineStr">
        <is>
          <t>SovEcon</t>
        </is>
      </c>
      <c r="D18" s="21" t="inlineStr">
        <is>
          <t>2026/27</t>
        </is>
      </c>
      <c r="E18" s="4" t="inlineStr">
        <is>
          <t>Total Grains</t>
        </is>
      </c>
      <c r="F18" s="21" t="inlineStr">
        <is>
          <t>Exports</t>
        </is>
      </c>
      <c r="G18" s="8" t="n">
        <v>44.7</v>
      </c>
      <c r="H18" s="8" t="n">
        <v>49.4</v>
      </c>
      <c r="I18" s="22">
        <f>G18-H18</f>
        <v/>
      </c>
      <c r="J18" s="21" t="inlineStr">
        <is>
          <t>Excl. Crimea/New Regions</t>
        </is>
      </c>
      <c r="K18" s="21" t="inlineStr">
        <is>
          <t>Slashed as Azov-Black Sea ports seen shut until 2027</t>
        </is>
      </c>
    </row>
    <row r="19">
      <c r="A19" s="21" t="inlineStr">
        <is>
          <t>2026-09-30</t>
        </is>
      </c>
      <c r="B19" s="21" t="inlineStr">
        <is>
          <t>Russia</t>
        </is>
      </c>
      <c r="C19" s="4" t="inlineStr">
        <is>
          <t>SovEcon</t>
        </is>
      </c>
      <c r="D19" s="21" t="inlineStr">
        <is>
          <t>2026/27</t>
        </is>
      </c>
      <c r="E19" s="4" t="inlineStr">
        <is>
          <t>Wheat</t>
        </is>
      </c>
      <c r="F19" s="21" t="inlineStr">
        <is>
          <t>Exports</t>
        </is>
      </c>
      <c r="G19" s="8" t="n">
        <v>36.7</v>
      </c>
      <c r="H19" s="8" t="n">
        <v>41.4</v>
      </c>
      <c r="I19" s="22">
        <f>G19-H19</f>
        <v/>
      </c>
      <c r="J19" s="21" t="inlineStr">
        <is>
          <t>Excl. Crimea/New Regions</t>
        </is>
      </c>
      <c r="K19" s="21" t="inlineStr">
        <is>
          <t>Lowered by 4.7 MMT to 36.7 MMT on southern port standstill</t>
        </is>
      </c>
    </row>
    <row r="20">
      <c r="A20" s="21" t="inlineStr">
        <is>
          <t>2026-10-07</t>
        </is>
      </c>
      <c r="B20" s="21" t="inlineStr">
        <is>
          <t>Russia</t>
        </is>
      </c>
      <c r="C20" s="4" t="inlineStr">
        <is>
          <t>SovEcon</t>
        </is>
      </c>
      <c r="D20" s="21" t="inlineStr">
        <is>
          <t>2026/27</t>
        </is>
      </c>
      <c r="E20" s="4" t="inlineStr">
        <is>
          <t>Wheat</t>
        </is>
      </c>
      <c r="F20" s="21" t="inlineStr">
        <is>
          <t>Production</t>
        </is>
      </c>
      <c r="G20" s="8" t="n">
        <v>87.5</v>
      </c>
      <c r="H20" s="8" t="n">
        <v>88.2</v>
      </c>
      <c r="I20" s="22">
        <f>G20-H20</f>
        <v/>
      </c>
      <c r="J20" s="21" t="inlineStr">
        <is>
          <t>Excl. Crimea/New Regions</t>
        </is>
      </c>
      <c r="K20" s="21" t="inlineStr">
        <is>
          <t>Cut 2026 Russian wheat crop to 87.5 MMT from 88.2 MMT</t>
        </is>
      </c>
    </row>
    <row r="21">
      <c r="A21" s="21" t="inlineStr">
        <is>
          <t>2026-07-08</t>
        </is>
      </c>
      <c r="B21" s="21" t="inlineStr">
        <is>
          <t>Russia</t>
        </is>
      </c>
      <c r="C21" s="4" t="inlineStr">
        <is>
          <t>Rusagrotrans</t>
        </is>
      </c>
      <c r="D21" s="21" t="inlineStr">
        <is>
          <t>2025/26</t>
        </is>
      </c>
      <c r="E21" s="4" t="inlineStr">
        <is>
          <t>Wheat</t>
        </is>
      </c>
      <c r="F21" s="21" t="inlineStr">
        <is>
          <t>Exports</t>
        </is>
      </c>
      <c r="G21" s="8" t="n">
        <v>48</v>
      </c>
      <c r="H21" s="8" t="n">
        <v>42.2</v>
      </c>
      <c r="I21" s="22">
        <f>G21-H21</f>
        <v/>
      </c>
      <c r="J21" s="21" t="inlineStr">
        <is>
          <t>All Russian Ports &amp; Rail</t>
        </is>
      </c>
      <c r="K21" s="21" t="inlineStr">
        <is>
          <t>Full 2025/26 MY realized wheat exports (+13.7% YoY vs 2024/25)</t>
        </is>
      </c>
    </row>
    <row r="22">
      <c r="A22" s="21" t="inlineStr">
        <is>
          <t>2026-10-01</t>
        </is>
      </c>
      <c r="B22" s="21" t="inlineStr">
        <is>
          <t>Russia</t>
        </is>
      </c>
      <c r="C22" s="4" t="inlineStr">
        <is>
          <t>Rusagrotrans</t>
        </is>
      </c>
      <c r="D22" s="21" t="inlineStr">
        <is>
          <t>2026/27</t>
        </is>
      </c>
      <c r="E22" s="4" t="inlineStr">
        <is>
          <t>Total Grains</t>
        </is>
      </c>
      <c r="F22" s="21" t="inlineStr">
        <is>
          <t>Production</t>
        </is>
      </c>
      <c r="G22" s="8" t="n">
        <v>137.6</v>
      </c>
      <c r="H22" s="8" t="n">
        <v>142.1</v>
      </c>
      <c r="I22" s="22">
        <f>G22-H22</f>
        <v/>
      </c>
      <c r="J22" s="21" t="inlineStr">
        <is>
          <t>Excl. New Regions</t>
        </is>
      </c>
      <c r="K22" s="21" t="inlineStr">
        <is>
          <t>Eurasian Agricom 2026 Astana presentation (-4.5 MMT YoY)</t>
        </is>
      </c>
    </row>
    <row r="23">
      <c r="A23" s="21" t="inlineStr">
        <is>
          <t>2026-10-01</t>
        </is>
      </c>
      <c r="B23" s="21" t="inlineStr">
        <is>
          <t>Russia</t>
        </is>
      </c>
      <c r="C23" s="4" t="inlineStr">
        <is>
          <t>Rusagrotrans</t>
        </is>
      </c>
      <c r="D23" s="21" t="inlineStr">
        <is>
          <t>2026/27</t>
        </is>
      </c>
      <c r="E23" s="4" t="inlineStr">
        <is>
          <t>Wheat</t>
        </is>
      </c>
      <c r="F23" s="21" t="inlineStr">
        <is>
          <t>Production</t>
        </is>
      </c>
      <c r="G23" s="8" t="n">
        <v>90.2</v>
      </c>
      <c r="H23" s="8" t="n">
        <v>91.09999999999999</v>
      </c>
      <c r="I23" s="22">
        <f>G23-H23</f>
        <v/>
      </c>
      <c r="J23" s="21" t="inlineStr">
        <is>
          <t>Excl. New Regions</t>
        </is>
      </c>
      <c r="K23" s="21" t="inlineStr">
        <is>
          <t>Top-5 historical wheat harvest; -0.9 MMT vs 2025</t>
        </is>
      </c>
    </row>
    <row r="24">
      <c r="A24" s="21" t="inlineStr">
        <is>
          <t>2026-10-01</t>
        </is>
      </c>
      <c r="B24" s="21" t="inlineStr">
        <is>
          <t>Russia</t>
        </is>
      </c>
      <c r="C24" s="4" t="inlineStr">
        <is>
          <t>Rusagrotrans</t>
        </is>
      </c>
      <c r="D24" s="21" t="inlineStr">
        <is>
          <t>2026/27</t>
        </is>
      </c>
      <c r="E24" s="4" t="inlineStr">
        <is>
          <t>Barley</t>
        </is>
      </c>
      <c r="F24" s="21" t="inlineStr">
        <is>
          <t>Production</t>
        </is>
      </c>
      <c r="G24" s="8" t="n">
        <v>19.3</v>
      </c>
      <c r="H24" s="8" t="n">
        <v>19.7</v>
      </c>
      <c r="I24" s="22">
        <f>G24-H24</f>
        <v/>
      </c>
      <c r="J24" s="21" t="inlineStr">
        <is>
          <t>Excl. New Regions</t>
        </is>
      </c>
      <c r="K24" s="21" t="inlineStr">
        <is>
          <t>Barley harvest forecast at 19.3 MMT</t>
        </is>
      </c>
    </row>
    <row r="25">
      <c r="A25" s="21" t="inlineStr">
        <is>
          <t>2026-10-01</t>
        </is>
      </c>
      <c r="B25" s="21" t="inlineStr">
        <is>
          <t>Russia</t>
        </is>
      </c>
      <c r="C25" s="4" t="inlineStr">
        <is>
          <t>Rusagrotrans</t>
        </is>
      </c>
      <c r="D25" s="21" t="inlineStr">
        <is>
          <t>2026/27</t>
        </is>
      </c>
      <c r="E25" s="4" t="inlineStr">
        <is>
          <t>Corn</t>
        </is>
      </c>
      <c r="F25" s="21" t="inlineStr">
        <is>
          <t>Production</t>
        </is>
      </c>
      <c r="G25" s="8" t="n">
        <v>16.7</v>
      </c>
      <c r="H25" s="8" t="n">
        <v>15.8</v>
      </c>
      <c r="I25" s="22">
        <f>G25-H25</f>
        <v/>
      </c>
      <c r="J25" s="21" t="inlineStr">
        <is>
          <t>Excl. New Regions</t>
        </is>
      </c>
      <c r="K25" s="21" t="inlineStr">
        <is>
          <t>Corn harvest forecast at 16.7 MMT (+0.9 MMT YoY)</t>
        </is>
      </c>
    </row>
    <row r="26">
      <c r="A26" s="21" t="inlineStr">
        <is>
          <t>2026-07-06</t>
        </is>
      </c>
      <c r="B26" s="21" t="inlineStr">
        <is>
          <t>Russia</t>
        </is>
      </c>
      <c r="C26" s="4" t="inlineStr">
        <is>
          <t>ProZerno</t>
        </is>
      </c>
      <c r="D26" s="21" t="inlineStr">
        <is>
          <t>2026/27</t>
        </is>
      </c>
      <c r="E26" s="4" t="inlineStr">
        <is>
          <t>Total Grains</t>
        </is>
      </c>
      <c r="F26" s="21" t="inlineStr">
        <is>
          <t>Production</t>
        </is>
      </c>
      <c r="G26" s="8" t="n">
        <v>134.7</v>
      </c>
      <c r="H26" s="8" t="n">
        <v>137.4</v>
      </c>
      <c r="I26" s="22">
        <f>G26-H26</f>
        <v/>
      </c>
      <c r="J26" s="21" t="inlineStr">
        <is>
          <t>Excl. New Regions</t>
        </is>
      </c>
      <c r="K26" s="21" t="inlineStr">
        <is>
          <t>Cut by 2.7 MMT; 2025 actual was 141.2 MMT</t>
        </is>
      </c>
    </row>
    <row r="27">
      <c r="A27" s="21" t="inlineStr">
        <is>
          <t>2026-07-06</t>
        </is>
      </c>
      <c r="B27" s="21" t="inlineStr">
        <is>
          <t>Russia</t>
        </is>
      </c>
      <c r="C27" s="4" t="inlineStr">
        <is>
          <t>ProZerno</t>
        </is>
      </c>
      <c r="D27" s="21" t="inlineStr">
        <is>
          <t>2026/27</t>
        </is>
      </c>
      <c r="E27" s="4" t="inlineStr">
        <is>
          <t>Wheat</t>
        </is>
      </c>
      <c r="F27" s="21" t="inlineStr">
        <is>
          <t>Production</t>
        </is>
      </c>
      <c r="G27" s="8" t="n">
        <v>86.84999999999999</v>
      </c>
      <c r="H27" s="8" t="n">
        <v>91.06999999999999</v>
      </c>
      <c r="I27" s="22">
        <f>G27-H27</f>
        <v/>
      </c>
      <c r="J27" s="21" t="inlineStr">
        <is>
          <t>Excl. New Regions</t>
        </is>
      </c>
      <c r="K27" s="21" t="inlineStr">
        <is>
          <t>Spring wheat area fell below 10 Mha (9.86 Mha) for first time since 1970</t>
        </is>
      </c>
    </row>
    <row r="28">
      <c r="A28" s="21" t="inlineStr">
        <is>
          <t>2026-07-06</t>
        </is>
      </c>
      <c r="B28" s="21" t="inlineStr">
        <is>
          <t>Russia</t>
        </is>
      </c>
      <c r="C28" s="4" t="inlineStr">
        <is>
          <t>ProZerno</t>
        </is>
      </c>
      <c r="D28" s="21" t="inlineStr">
        <is>
          <t>2026/27</t>
        </is>
      </c>
      <c r="E28" s="4" t="inlineStr">
        <is>
          <t>Barley</t>
        </is>
      </c>
      <c r="F28" s="21" t="inlineStr">
        <is>
          <t>Production</t>
        </is>
      </c>
      <c r="G28" s="8" t="n">
        <v>19.2</v>
      </c>
      <c r="H28" s="8" t="n">
        <v>19.67</v>
      </c>
      <c r="I28" s="22">
        <f>G28-H28</f>
        <v/>
      </c>
      <c r="J28" s="21" t="inlineStr">
        <is>
          <t>Excl. New Regions</t>
        </is>
      </c>
      <c r="K28" s="21" t="inlineStr">
        <is>
          <t>-2.4% vs 2025 harvest of 19.67 MMT</t>
        </is>
      </c>
    </row>
    <row r="29">
      <c r="A29" s="21" t="inlineStr">
        <is>
          <t>2026-07-06</t>
        </is>
      </c>
      <c r="B29" s="21" t="inlineStr">
        <is>
          <t>Russia</t>
        </is>
      </c>
      <c r="C29" s="4" t="inlineStr">
        <is>
          <t>ProZerno</t>
        </is>
      </c>
      <c r="D29" s="21" t="inlineStr">
        <is>
          <t>2026/27</t>
        </is>
      </c>
      <c r="E29" s="4" t="inlineStr">
        <is>
          <t>Corn</t>
        </is>
      </c>
      <c r="F29" s="21" t="inlineStr">
        <is>
          <t>Production</t>
        </is>
      </c>
      <c r="G29" s="8" t="n">
        <v>15.7</v>
      </c>
      <c r="H29" s="8" t="n">
        <v>14.8</v>
      </c>
      <c r="I29" s="22">
        <f>G29-H29</f>
        <v/>
      </c>
      <c r="J29" s="21" t="inlineStr">
        <is>
          <t>Excl. New Regions</t>
        </is>
      </c>
      <c r="K29" s="21" t="inlineStr">
        <is>
          <t>Up from 14.8 MMT in 2025</t>
        </is>
      </c>
    </row>
    <row r="30">
      <c r="A30" s="21" t="inlineStr">
        <is>
          <t>2026-10-12</t>
        </is>
      </c>
      <c r="B30" s="21" t="inlineStr">
        <is>
          <t>Russia</t>
        </is>
      </c>
      <c r="C30" s="4" t="inlineStr">
        <is>
          <t>USDA FAS</t>
        </is>
      </c>
      <c r="D30" s="21" t="inlineStr">
        <is>
          <t>2026/27</t>
        </is>
      </c>
      <c r="E30" s="4" t="inlineStr">
        <is>
          <t>Wheat</t>
        </is>
      </c>
      <c r="F30" s="21" t="inlineStr">
        <is>
          <t>Production</t>
        </is>
      </c>
      <c r="G30" s="8" t="n">
        <v>88</v>
      </c>
      <c r="H30" s="8" t="n">
        <v>90.3</v>
      </c>
      <c r="I30" s="22">
        <f>G30-H30</f>
        <v/>
      </c>
      <c r="J30" s="21" t="inlineStr">
        <is>
          <t>Excl. Crimea &amp; Occupied Oblasts</t>
        </is>
      </c>
      <c r="K30" s="21" t="inlineStr">
        <is>
          <t>Official USDA PSD 2026/27 vs 2025/26 (90.3 MMT)</t>
        </is>
      </c>
    </row>
    <row r="31">
      <c r="A31" s="21" t="inlineStr">
        <is>
          <t>2026-10-12</t>
        </is>
      </c>
      <c r="B31" s="21" t="inlineStr">
        <is>
          <t>Russia</t>
        </is>
      </c>
      <c r="C31" s="4" t="inlineStr">
        <is>
          <t>USDA FAS</t>
        </is>
      </c>
      <c r="D31" s="21" t="inlineStr">
        <is>
          <t>2026/27</t>
        </is>
      </c>
      <c r="E31" s="4" t="inlineStr">
        <is>
          <t>Wheat</t>
        </is>
      </c>
      <c r="F31" s="21" t="inlineStr">
        <is>
          <t>Exports</t>
        </is>
      </c>
      <c r="G31" s="8" t="n">
        <v>43</v>
      </c>
      <c r="H31" s="8" t="n">
        <v>48</v>
      </c>
      <c r="I31" s="22">
        <f>G31-H31</f>
        <v/>
      </c>
      <c r="J31" s="21" t="inlineStr">
        <is>
          <t>Excl. Crimea &amp; Occupied Oblasts</t>
        </is>
      </c>
      <c r="K31" s="21" t="inlineStr">
        <is>
          <t>Official USDA PSD 2026/27 vs 2025/26 (48.0 MMT)</t>
        </is>
      </c>
    </row>
    <row r="32">
      <c r="A32" s="21" t="inlineStr">
        <is>
          <t>2026-10-12</t>
        </is>
      </c>
      <c r="B32" s="21" t="inlineStr">
        <is>
          <t>Russia</t>
        </is>
      </c>
      <c r="C32" s="4" t="inlineStr">
        <is>
          <t>USDA FAS</t>
        </is>
      </c>
      <c r="D32" s="21" t="inlineStr">
        <is>
          <t>2026/27</t>
        </is>
      </c>
      <c r="E32" s="4" t="inlineStr">
        <is>
          <t>Barley</t>
        </is>
      </c>
      <c r="F32" s="21" t="inlineStr">
        <is>
          <t>Production</t>
        </is>
      </c>
      <c r="G32" s="8" t="n">
        <v>19.5</v>
      </c>
      <c r="H32" s="8" t="n">
        <v>19.4</v>
      </c>
      <c r="I32" s="22">
        <f>G32-H32</f>
        <v/>
      </c>
      <c r="J32" s="21" t="inlineStr">
        <is>
          <t>Excl. Crimea &amp; Occupied Oblasts</t>
        </is>
      </c>
      <c r="K32" s="21" t="inlineStr">
        <is>
          <t>Official USDA PSD 2026/27</t>
        </is>
      </c>
    </row>
    <row r="33">
      <c r="A33" s="21" t="inlineStr">
        <is>
          <t>2026-10-12</t>
        </is>
      </c>
      <c r="B33" s="21" t="inlineStr">
        <is>
          <t>Russia</t>
        </is>
      </c>
      <c r="C33" s="4" t="inlineStr">
        <is>
          <t>USDA FAS</t>
        </is>
      </c>
      <c r="D33" s="21" t="inlineStr">
        <is>
          <t>2026/27</t>
        </is>
      </c>
      <c r="E33" s="4" t="inlineStr">
        <is>
          <t>Barley</t>
        </is>
      </c>
      <c r="F33" s="21" t="inlineStr">
        <is>
          <t>Exports</t>
        </is>
      </c>
      <c r="G33" s="8" t="n">
        <v>3.4</v>
      </c>
      <c r="H33" s="8" t="n">
        <v>4.5</v>
      </c>
      <c r="I33" s="22">
        <f>G33-H33</f>
        <v/>
      </c>
      <c r="J33" s="21" t="inlineStr">
        <is>
          <t>Excl. Crimea &amp; Occupied Oblasts</t>
        </is>
      </c>
      <c r="K33" s="21" t="inlineStr">
        <is>
          <t>Official USDA PSD 2026/27</t>
        </is>
      </c>
    </row>
    <row r="34">
      <c r="A34" s="21" t="inlineStr">
        <is>
          <t>2026-10-12</t>
        </is>
      </c>
      <c r="B34" s="21" t="inlineStr">
        <is>
          <t>Russia</t>
        </is>
      </c>
      <c r="C34" s="4" t="inlineStr">
        <is>
          <t>USDA FAS</t>
        </is>
      </c>
      <c r="D34" s="21" t="inlineStr">
        <is>
          <t>2026/27</t>
        </is>
      </c>
      <c r="E34" s="4" t="inlineStr">
        <is>
          <t>Corn</t>
        </is>
      </c>
      <c r="F34" s="21" t="inlineStr">
        <is>
          <t>Production</t>
        </is>
      </c>
      <c r="G34" s="8" t="n">
        <v>16.5</v>
      </c>
      <c r="H34" s="8" t="n">
        <v>14.8</v>
      </c>
      <c r="I34" s="22">
        <f>G34-H34</f>
        <v/>
      </c>
      <c r="J34" s="21" t="inlineStr">
        <is>
          <t>Excl. Crimea &amp; Occupied Oblasts</t>
        </is>
      </c>
      <c r="K34" s="21" t="inlineStr">
        <is>
          <t>Official USDA PSD 2026/27</t>
        </is>
      </c>
    </row>
    <row r="35">
      <c r="A35" s="21" t="inlineStr">
        <is>
          <t>2026-10-12</t>
        </is>
      </c>
      <c r="B35" s="21" t="inlineStr">
        <is>
          <t>Russia</t>
        </is>
      </c>
      <c r="C35" s="4" t="inlineStr">
        <is>
          <t>USDA FAS</t>
        </is>
      </c>
      <c r="D35" s="21" t="inlineStr">
        <is>
          <t>2026/27</t>
        </is>
      </c>
      <c r="E35" s="4" t="inlineStr">
        <is>
          <t>Corn</t>
        </is>
      </c>
      <c r="F35" s="21" t="inlineStr">
        <is>
          <t>Exports</t>
        </is>
      </c>
      <c r="G35" s="8" t="n">
        <v>3.7</v>
      </c>
      <c r="H35" s="8" t="n">
        <v>4</v>
      </c>
      <c r="I35" s="22">
        <f>G35-H35</f>
        <v/>
      </c>
      <c r="J35" s="21" t="inlineStr">
        <is>
          <t>Excl. Crimea &amp; Occupied Oblasts</t>
        </is>
      </c>
      <c r="K35" s="21" t="inlineStr">
        <is>
          <t>Official USDA PSD 2026/27</t>
        </is>
      </c>
    </row>
    <row r="36">
      <c r="A36" s="21" t="inlineStr">
        <is>
          <t>2026-10-12</t>
        </is>
      </c>
      <c r="B36" s="21" t="inlineStr">
        <is>
          <t>Russia</t>
        </is>
      </c>
      <c r="C36" s="4" t="inlineStr">
        <is>
          <t>USDA FAS</t>
        </is>
      </c>
      <c r="D36" s="21" t="inlineStr">
        <is>
          <t>2026/27</t>
        </is>
      </c>
      <c r="E36" s="4" t="inlineStr">
        <is>
          <t>Total Grains</t>
        </is>
      </c>
      <c r="F36" s="21" t="inlineStr">
        <is>
          <t>Production</t>
        </is>
      </c>
      <c r="G36" s="8" t="n">
        <v>124</v>
      </c>
      <c r="H36" s="8" t="n">
        <v>124.5</v>
      </c>
      <c r="I36" s="22">
        <f>G36-H36</f>
        <v/>
      </c>
      <c r="J36" s="21" t="inlineStr">
        <is>
          <t>Wheat + Corn + Barley Sum</t>
        </is>
      </c>
      <c r="K36" s="21" t="inlineStr">
        <is>
          <t>Sum of USDA Wheat (88.0) + Barley (19.5) + Corn (16.5)</t>
        </is>
      </c>
    </row>
    <row r="37">
      <c r="A37" s="21" t="inlineStr">
        <is>
          <t>2026-10-12</t>
        </is>
      </c>
      <c r="B37" s="21" t="inlineStr">
        <is>
          <t>Russia</t>
        </is>
      </c>
      <c r="C37" s="4" t="inlineStr">
        <is>
          <t>USDA FAS</t>
        </is>
      </c>
      <c r="D37" s="21" t="inlineStr">
        <is>
          <t>2026/27</t>
        </is>
      </c>
      <c r="E37" s="4" t="inlineStr">
        <is>
          <t>Total Grains</t>
        </is>
      </c>
      <c r="F37" s="21" t="inlineStr">
        <is>
          <t>Exports</t>
        </is>
      </c>
      <c r="G37" s="8" t="n">
        <v>50.1</v>
      </c>
      <c r="H37" s="8" t="n">
        <v>56.5</v>
      </c>
      <c r="I37" s="22">
        <f>G37-H37</f>
        <v/>
      </c>
      <c r="J37" s="21" t="inlineStr">
        <is>
          <t>Wheat + Corn + Barley Sum</t>
        </is>
      </c>
      <c r="K37" s="21" t="inlineStr">
        <is>
          <t>Sum of USDA Wheat (43.0) + Barley (3.4) + Corn (3.7)</t>
        </is>
      </c>
    </row>
    <row r="38">
      <c r="A38" s="21" t="inlineStr">
        <is>
          <t>2026-06-15</t>
        </is>
      </c>
      <c r="B38" s="21" t="inlineStr">
        <is>
          <t>Ukraine</t>
        </is>
      </c>
      <c r="C38" s="4" t="inlineStr">
        <is>
          <t>APK-Inform</t>
        </is>
      </c>
      <c r="D38" s="21" t="inlineStr">
        <is>
          <t>2026/27</t>
        </is>
      </c>
      <c r="E38" s="4" t="inlineStr">
        <is>
          <t>Total Grains</t>
        </is>
      </c>
      <c r="F38" s="21" t="inlineStr">
        <is>
          <t>Exports</t>
        </is>
      </c>
      <c r="G38" s="8" t="n">
        <v>43.1</v>
      </c>
      <c r="H38" s="21" t="inlineStr">
        <is>
          <t>N/A</t>
        </is>
      </c>
      <c r="I38" s="21" t="inlineStr">
        <is>
          <t>N/A</t>
        </is>
      </c>
      <c r="J38" s="21" t="inlineStr">
        <is>
          <t>Ukraine Controlled Territory</t>
        </is>
      </c>
      <c r="K38" s="21" t="inlineStr">
        <is>
          <t>June pre-blockade export outlook cited by Reuters</t>
        </is>
      </c>
    </row>
    <row r="39">
      <c r="A39" s="21" t="inlineStr">
        <is>
          <t>2026-08-15</t>
        </is>
      </c>
      <c r="B39" s="21" t="inlineStr">
        <is>
          <t>Ukraine</t>
        </is>
      </c>
      <c r="C39" s="4" t="inlineStr">
        <is>
          <t>APK-Inform</t>
        </is>
      </c>
      <c r="D39" s="21" t="inlineStr">
        <is>
          <t>2026/27</t>
        </is>
      </c>
      <c r="E39" s="4" t="inlineStr">
        <is>
          <t>Total Grains</t>
        </is>
      </c>
      <c r="F39" s="21" t="inlineStr">
        <is>
          <t>Production</t>
        </is>
      </c>
      <c r="G39" s="8" t="n">
        <v>60.5</v>
      </c>
      <c r="H39" s="21" t="inlineStr">
        <is>
          <t>N/A</t>
        </is>
      </c>
      <c r="I39" s="21" t="inlineStr">
        <is>
          <t>N/A</t>
        </is>
      </c>
      <c r="J39" s="21" t="inlineStr">
        <is>
          <t>Ukraine Controlled Territory</t>
        </is>
      </c>
      <c r="K39" s="21" t="inlineStr">
        <is>
          <t>August grain harvest forecast cited on Sept 14</t>
        </is>
      </c>
    </row>
    <row r="40">
      <c r="A40" s="21" t="inlineStr">
        <is>
          <t>2026-08-15</t>
        </is>
      </c>
      <c r="B40" s="21" t="inlineStr">
        <is>
          <t>Ukraine</t>
        </is>
      </c>
      <c r="C40" s="4" t="inlineStr">
        <is>
          <t>APK-Inform</t>
        </is>
      </c>
      <c r="D40" s="21" t="inlineStr">
        <is>
          <t>2026/27</t>
        </is>
      </c>
      <c r="E40" s="4" t="inlineStr">
        <is>
          <t>Total Grains</t>
        </is>
      </c>
      <c r="F40" s="21" t="inlineStr">
        <is>
          <t>Exports</t>
        </is>
      </c>
      <c r="G40" s="8" t="n">
        <v>39.4</v>
      </c>
      <c r="H40" s="8" t="n">
        <v>43.1</v>
      </c>
      <c r="I40" s="22">
        <f>G40-H40</f>
        <v/>
      </c>
      <c r="J40" s="21" t="inlineStr">
        <is>
          <t>Ukraine Controlled Territory</t>
        </is>
      </c>
      <c r="K40" s="21" t="inlineStr">
        <is>
          <t>Initial cut after late-July Odesa port attacks</t>
        </is>
      </c>
    </row>
    <row r="41">
      <c r="A41" s="21" t="inlineStr">
        <is>
          <t>2026-08-15</t>
        </is>
      </c>
      <c r="B41" s="21" t="inlineStr">
        <is>
          <t>Ukraine</t>
        </is>
      </c>
      <c r="C41" s="4" t="inlineStr">
        <is>
          <t>APK-Inform</t>
        </is>
      </c>
      <c r="D41" s="21" t="inlineStr">
        <is>
          <t>2026/27</t>
        </is>
      </c>
      <c r="E41" s="4" t="inlineStr">
        <is>
          <t>Wheat</t>
        </is>
      </c>
      <c r="F41" s="21" t="inlineStr">
        <is>
          <t>Production</t>
        </is>
      </c>
      <c r="G41" s="8" t="n">
        <v>22.6</v>
      </c>
      <c r="H41" s="21" t="inlineStr">
        <is>
          <t>N/A</t>
        </is>
      </c>
      <c r="I41" s="21" t="inlineStr">
        <is>
          <t>N/A</t>
        </is>
      </c>
      <c r="J41" s="21" t="inlineStr">
        <is>
          <t>Ukraine Controlled Territory</t>
        </is>
      </c>
      <c r="K41" s="21" t="inlineStr">
        <is>
          <t>August wheat crop forecast before yield upgrade</t>
        </is>
      </c>
    </row>
    <row r="42">
      <c r="A42" s="21" t="inlineStr">
        <is>
          <t>2026-08-15</t>
        </is>
      </c>
      <c r="B42" s="21" t="inlineStr">
        <is>
          <t>Ukraine</t>
        </is>
      </c>
      <c r="C42" s="4" t="inlineStr">
        <is>
          <t>APK-Inform</t>
        </is>
      </c>
      <c r="D42" s="21" t="inlineStr">
        <is>
          <t>2026/27</t>
        </is>
      </c>
      <c r="E42" s="4" t="inlineStr">
        <is>
          <t>Wheat</t>
        </is>
      </c>
      <c r="F42" s="21" t="inlineStr">
        <is>
          <t>Exports</t>
        </is>
      </c>
      <c r="G42" s="8" t="n">
        <v>13.5</v>
      </c>
      <c r="H42" s="21" t="inlineStr">
        <is>
          <t>N/A</t>
        </is>
      </c>
      <c r="I42" s="21" t="inlineStr">
        <is>
          <t>N/A</t>
        </is>
      </c>
      <c r="J42" s="21" t="inlineStr">
        <is>
          <t>Ukraine Controlled Territory</t>
        </is>
      </c>
      <c r="K42" s="21" t="inlineStr">
        <is>
          <t>August wheat export forecast</t>
        </is>
      </c>
    </row>
    <row r="43">
      <c r="A43" s="21" t="inlineStr">
        <is>
          <t>2026-08-15</t>
        </is>
      </c>
      <c r="B43" s="21" t="inlineStr">
        <is>
          <t>Ukraine</t>
        </is>
      </c>
      <c r="C43" s="4" t="inlineStr">
        <is>
          <t>APK-Inform</t>
        </is>
      </c>
      <c r="D43" s="21" t="inlineStr">
        <is>
          <t>2026/27</t>
        </is>
      </c>
      <c r="E43" s="4" t="inlineStr">
        <is>
          <t>Corn</t>
        </is>
      </c>
      <c r="F43" s="21" t="inlineStr">
        <is>
          <t>Production</t>
        </is>
      </c>
      <c r="G43" s="8" t="n">
        <v>29.8</v>
      </c>
      <c r="H43" s="21" t="inlineStr">
        <is>
          <t>N/A</t>
        </is>
      </c>
      <c r="I43" s="21" t="inlineStr">
        <is>
          <t>N/A</t>
        </is>
      </c>
      <c r="J43" s="21" t="inlineStr">
        <is>
          <t>Ukraine Controlled Territory</t>
        </is>
      </c>
      <c r="K43" s="21" t="inlineStr">
        <is>
          <t>August corn crop forecast</t>
        </is>
      </c>
    </row>
    <row r="44">
      <c r="A44" s="21" t="inlineStr">
        <is>
          <t>2026-08-15</t>
        </is>
      </c>
      <c r="B44" s="21" t="inlineStr">
        <is>
          <t>Ukraine</t>
        </is>
      </c>
      <c r="C44" s="4" t="inlineStr">
        <is>
          <t>APK-Inform</t>
        </is>
      </c>
      <c r="D44" s="21" t="inlineStr">
        <is>
          <t>2026/27</t>
        </is>
      </c>
      <c r="E44" s="4" t="inlineStr">
        <is>
          <t>Corn</t>
        </is>
      </c>
      <c r="F44" s="21" t="inlineStr">
        <is>
          <t>Exports</t>
        </is>
      </c>
      <c r="G44" s="8" t="n">
        <v>24</v>
      </c>
      <c r="H44" s="21" t="inlineStr">
        <is>
          <t>N/A</t>
        </is>
      </c>
      <c r="I44" s="21" t="inlineStr">
        <is>
          <t>N/A</t>
        </is>
      </c>
      <c r="J44" s="21" t="inlineStr">
        <is>
          <t>Ukraine Controlled Territory</t>
        </is>
      </c>
      <c r="K44" s="21" t="inlineStr">
        <is>
          <t>August corn export forecast</t>
        </is>
      </c>
    </row>
    <row r="45">
      <c r="A45" s="21" t="inlineStr">
        <is>
          <t>2026-09-14</t>
        </is>
      </c>
      <c r="B45" s="21" t="inlineStr">
        <is>
          <t>Ukraine</t>
        </is>
      </c>
      <c r="C45" s="4" t="inlineStr">
        <is>
          <t>APK-Inform</t>
        </is>
      </c>
      <c r="D45" s="21" t="inlineStr">
        <is>
          <t>2026/27</t>
        </is>
      </c>
      <c r="E45" s="4" t="inlineStr">
        <is>
          <t>Total Grains</t>
        </is>
      </c>
      <c r="F45" s="21" t="inlineStr">
        <is>
          <t>Production</t>
        </is>
      </c>
      <c r="G45" s="8" t="n">
        <v>65.249</v>
      </c>
      <c r="H45" s="8" t="n">
        <v>60.5</v>
      </c>
      <c r="I45" s="22">
        <f>G45-H45</f>
        <v/>
      </c>
      <c r="J45" s="21" t="inlineStr">
        <is>
          <t>Ukraine Controlled Territory</t>
        </is>
      </c>
      <c r="K45" s="21" t="inlineStr">
        <is>
          <t>Raised +7.8% on strong field yields</t>
        </is>
      </c>
    </row>
    <row r="46">
      <c r="A46" s="21" t="inlineStr">
        <is>
          <t>2026-09-14</t>
        </is>
      </c>
      <c r="B46" s="21" t="inlineStr">
        <is>
          <t>Ukraine</t>
        </is>
      </c>
      <c r="C46" s="4" t="inlineStr">
        <is>
          <t>APK-Inform</t>
        </is>
      </c>
      <c r="D46" s="21" t="inlineStr">
        <is>
          <t>2026/27</t>
        </is>
      </c>
      <c r="E46" s="4" t="inlineStr">
        <is>
          <t>Total Grains</t>
        </is>
      </c>
      <c r="F46" s="21" t="inlineStr">
        <is>
          <t>Exports</t>
        </is>
      </c>
      <c r="G46" s="8" t="n">
        <v>33.869</v>
      </c>
      <c r="H46" s="8" t="n">
        <v>39.4</v>
      </c>
      <c r="I46" s="22">
        <f>G46-H46</f>
        <v/>
      </c>
      <c r="J46" s="21" t="inlineStr">
        <is>
          <t>Ukraine Controlled Territory</t>
        </is>
      </c>
      <c r="K46" s="21" t="inlineStr">
        <is>
          <t>Cut -14% due to blocked Odesa deep-sea ports</t>
        </is>
      </c>
    </row>
    <row r="47">
      <c r="A47" s="21" t="inlineStr">
        <is>
          <t>2026-09-14</t>
        </is>
      </c>
      <c r="B47" s="21" t="inlineStr">
        <is>
          <t>Ukraine</t>
        </is>
      </c>
      <c r="C47" s="4" t="inlineStr">
        <is>
          <t>APK-Inform</t>
        </is>
      </c>
      <c r="D47" s="21" t="inlineStr">
        <is>
          <t>2026/27</t>
        </is>
      </c>
      <c r="E47" s="4" t="inlineStr">
        <is>
          <t>Wheat</t>
        </is>
      </c>
      <c r="F47" s="21" t="inlineStr">
        <is>
          <t>Production</t>
        </is>
      </c>
      <c r="G47" s="8" t="n">
        <v>25.021</v>
      </c>
      <c r="H47" s="8" t="n">
        <v>22.6</v>
      </c>
      <c r="I47" s="22">
        <f>G47-H47</f>
        <v/>
      </c>
      <c r="J47" s="21" t="inlineStr">
        <is>
          <t>Ukraine Controlled Territory</t>
        </is>
      </c>
      <c r="K47" s="21" t="inlineStr">
        <is>
          <t>Upgraded on realized harvest yields</t>
        </is>
      </c>
    </row>
    <row r="48">
      <c r="A48" s="21" t="inlineStr">
        <is>
          <t>2026-09-14</t>
        </is>
      </c>
      <c r="B48" s="21" t="inlineStr">
        <is>
          <t>Ukraine</t>
        </is>
      </c>
      <c r="C48" s="4" t="inlineStr">
        <is>
          <t>APK-Inform</t>
        </is>
      </c>
      <c r="D48" s="21" t="inlineStr">
        <is>
          <t>2026/27</t>
        </is>
      </c>
      <c r="E48" s="4" t="inlineStr">
        <is>
          <t>Wheat</t>
        </is>
      </c>
      <c r="F48" s="21" t="inlineStr">
        <is>
          <t>Exports</t>
        </is>
      </c>
      <c r="G48" s="8" t="n">
        <v>10.5</v>
      </c>
      <c r="H48" s="8" t="n">
        <v>13.5</v>
      </c>
      <c r="I48" s="22">
        <f>G48-H48</f>
        <v/>
      </c>
      <c r="J48" s="21" t="inlineStr">
        <is>
          <t>Ukraine Controlled Territory</t>
        </is>
      </c>
      <c r="K48" s="21" t="inlineStr">
        <is>
          <t>Cut by 3.0 MMT to 10.5 MMT</t>
        </is>
      </c>
    </row>
    <row r="49">
      <c r="A49" s="21" t="inlineStr">
        <is>
          <t>2026-09-14</t>
        </is>
      </c>
      <c r="B49" s="21" t="inlineStr">
        <is>
          <t>Ukraine</t>
        </is>
      </c>
      <c r="C49" s="4" t="inlineStr">
        <is>
          <t>APK-Inform</t>
        </is>
      </c>
      <c r="D49" s="21" t="inlineStr">
        <is>
          <t>2026/27</t>
        </is>
      </c>
      <c r="E49" s="4" t="inlineStr">
        <is>
          <t>Corn</t>
        </is>
      </c>
      <c r="F49" s="21" t="inlineStr">
        <is>
          <t>Production</t>
        </is>
      </c>
      <c r="G49" s="8" t="n">
        <v>32.307</v>
      </c>
      <c r="H49" s="8" t="n">
        <v>29.8</v>
      </c>
      <c r="I49" s="22">
        <f>G49-H49</f>
        <v/>
      </c>
      <c r="J49" s="21" t="inlineStr">
        <is>
          <t>Ukraine Controlled Territory</t>
        </is>
      </c>
      <c r="K49" s="21" t="inlineStr">
        <is>
          <t>Raised to 32.31 MMT</t>
        </is>
      </c>
    </row>
    <row r="50">
      <c r="A50" s="21" t="inlineStr">
        <is>
          <t>2026-09-14</t>
        </is>
      </c>
      <c r="B50" s="21" t="inlineStr">
        <is>
          <t>Ukraine</t>
        </is>
      </c>
      <c r="C50" s="4" t="inlineStr">
        <is>
          <t>APK-Inform</t>
        </is>
      </c>
      <c r="D50" s="21" t="inlineStr">
        <is>
          <t>2026/27</t>
        </is>
      </c>
      <c r="E50" s="4" t="inlineStr">
        <is>
          <t>Corn</t>
        </is>
      </c>
      <c r="F50" s="21" t="inlineStr">
        <is>
          <t>Exports</t>
        </is>
      </c>
      <c r="G50" s="8" t="n">
        <v>22</v>
      </c>
      <c r="H50" s="8" t="n">
        <v>24</v>
      </c>
      <c r="I50" s="22">
        <f>G50-H50</f>
        <v/>
      </c>
      <c r="J50" s="21" t="inlineStr">
        <is>
          <t>Ukraine Controlled Territory</t>
        </is>
      </c>
      <c r="K50" s="21" t="inlineStr">
        <is>
          <t>Trimmed to 22.0 MMT</t>
        </is>
      </c>
    </row>
    <row r="51">
      <c r="A51" s="21" t="inlineStr">
        <is>
          <t>2026-09-14</t>
        </is>
      </c>
      <c r="B51" s="21" t="inlineStr">
        <is>
          <t>Ukraine</t>
        </is>
      </c>
      <c r="C51" s="4" t="inlineStr">
        <is>
          <t>APK-Inform</t>
        </is>
      </c>
      <c r="D51" s="21" t="inlineStr">
        <is>
          <t>2026/27</t>
        </is>
      </c>
      <c r="E51" s="4" t="inlineStr">
        <is>
          <t>Sunflowerseed</t>
        </is>
      </c>
      <c r="F51" s="21" t="inlineStr">
        <is>
          <t>Production</t>
        </is>
      </c>
      <c r="G51" s="8" t="n">
        <v>13.58</v>
      </c>
      <c r="H51" s="8" t="n">
        <v>13.48</v>
      </c>
      <c r="I51" s="22">
        <f>G51-H51</f>
        <v/>
      </c>
      <c r="J51" s="21" t="inlineStr">
        <is>
          <t>Ukraine Controlled Territory</t>
        </is>
      </c>
      <c r="K51" s="21" t="inlineStr">
        <is>
          <t>Sunseed harvest forecast increased to 13.58 MMT</t>
        </is>
      </c>
    </row>
    <row r="52">
      <c r="A52" s="21" t="inlineStr">
        <is>
          <t>2026-09-14</t>
        </is>
      </c>
      <c r="B52" s="21" t="inlineStr">
        <is>
          <t>Ukraine</t>
        </is>
      </c>
      <c r="C52" s="4" t="inlineStr">
        <is>
          <t>APK-Inform</t>
        </is>
      </c>
      <c r="D52" s="21" t="inlineStr">
        <is>
          <t>2026/27</t>
        </is>
      </c>
      <c r="E52" s="4" t="inlineStr">
        <is>
          <t>Sunflower Oil</t>
        </is>
      </c>
      <c r="F52" s="21" t="inlineStr">
        <is>
          <t>Production</t>
        </is>
      </c>
      <c r="G52" s="8" t="n">
        <v>5.73</v>
      </c>
      <c r="H52" s="8" t="n">
        <v>5.84</v>
      </c>
      <c r="I52" s="22">
        <f>G52-H52</f>
        <v/>
      </c>
      <c r="J52" s="21" t="inlineStr">
        <is>
          <t>Ukraine Controlled Territory</t>
        </is>
      </c>
      <c r="K52" s="21" t="inlineStr">
        <is>
          <t>Sunoil output trimmed to 5.73 MMT</t>
        </is>
      </c>
    </row>
    <row r="53">
      <c r="A53" s="21" t="inlineStr">
        <is>
          <t>2026-09-14</t>
        </is>
      </c>
      <c r="B53" s="21" t="inlineStr">
        <is>
          <t>Ukraine</t>
        </is>
      </c>
      <c r="C53" s="4" t="inlineStr">
        <is>
          <t>APK-Inform</t>
        </is>
      </c>
      <c r="D53" s="21" t="inlineStr">
        <is>
          <t>2026/27</t>
        </is>
      </c>
      <c r="E53" s="4" t="inlineStr">
        <is>
          <t>Sunflower Oil</t>
        </is>
      </c>
      <c r="F53" s="21" t="inlineStr">
        <is>
          <t>Exports</t>
        </is>
      </c>
      <c r="G53" s="8" t="n">
        <v>5.28</v>
      </c>
      <c r="H53" s="8" t="n">
        <v>5.38</v>
      </c>
      <c r="I53" s="22">
        <f>G53-H53</f>
        <v/>
      </c>
      <c r="J53" s="21" t="inlineStr">
        <is>
          <t>Ukraine Controlled Territory</t>
        </is>
      </c>
      <c r="K53" s="21" t="inlineStr">
        <is>
          <t>Sunoil export forecast trimmed to 5.28 MMT</t>
        </is>
      </c>
    </row>
    <row r="54">
      <c r="A54" s="21" t="inlineStr">
        <is>
          <t>2026-09-14</t>
        </is>
      </c>
      <c r="B54" s="21" t="inlineStr">
        <is>
          <t>Ukraine</t>
        </is>
      </c>
      <c r="C54" s="4" t="inlineStr">
        <is>
          <t>APK-Inform</t>
        </is>
      </c>
      <c r="D54" s="21" t="inlineStr">
        <is>
          <t>2026/27</t>
        </is>
      </c>
      <c r="E54" s="4" t="inlineStr">
        <is>
          <t>Soybeans</t>
        </is>
      </c>
      <c r="F54" s="21" t="inlineStr">
        <is>
          <t>Production</t>
        </is>
      </c>
      <c r="G54" s="8" t="n">
        <v>5.22</v>
      </c>
      <c r="H54" s="8" t="n">
        <v>5.73</v>
      </c>
      <c r="I54" s="22">
        <f>G54-H54</f>
        <v/>
      </c>
      <c r="J54" s="21" t="inlineStr">
        <is>
          <t>Ukraine Controlled Territory</t>
        </is>
      </c>
      <c r="K54" s="21" t="inlineStr">
        <is>
          <t>Soybean crop cut from 5.73 MMT to 5.22 MMT</t>
        </is>
      </c>
    </row>
    <row r="55">
      <c r="A55" s="21" t="inlineStr">
        <is>
          <t>2026-10-05</t>
        </is>
      </c>
      <c r="B55" s="21" t="inlineStr">
        <is>
          <t>Ukraine</t>
        </is>
      </c>
      <c r="C55" s="4" t="inlineStr">
        <is>
          <t>APK-Inform</t>
        </is>
      </c>
      <c r="D55" s="21" t="inlineStr">
        <is>
          <t>2026/27</t>
        </is>
      </c>
      <c r="E55" s="4" t="inlineStr">
        <is>
          <t>Soybeans</t>
        </is>
      </c>
      <c r="F55" s="21" t="inlineStr">
        <is>
          <t>Production</t>
        </is>
      </c>
      <c r="G55" s="8" t="n">
        <v>5.03</v>
      </c>
      <c r="H55" s="8" t="n">
        <v>5.22</v>
      </c>
      <c r="I55" s="22">
        <f>G55-H55</f>
        <v/>
      </c>
      <c r="J55" s="21" t="inlineStr">
        <is>
          <t>Ukraine Controlled Territory</t>
        </is>
      </c>
      <c r="K55" s="21" t="inlineStr">
        <is>
          <t>Further cut to 5.03 MMT</t>
        </is>
      </c>
    </row>
    <row r="56">
      <c r="A56" s="21" t="inlineStr">
        <is>
          <t>2026-10-05</t>
        </is>
      </c>
      <c r="B56" s="21" t="inlineStr">
        <is>
          <t>Ukraine</t>
        </is>
      </c>
      <c r="C56" s="4" t="inlineStr">
        <is>
          <t>APK-Inform</t>
        </is>
      </c>
      <c r="D56" s="21" t="inlineStr">
        <is>
          <t>2026/27</t>
        </is>
      </c>
      <c r="E56" s="4" t="inlineStr">
        <is>
          <t>Sunflower Oil</t>
        </is>
      </c>
      <c r="F56" s="21" t="inlineStr">
        <is>
          <t>Production</t>
        </is>
      </c>
      <c r="G56" s="8" t="n">
        <v>5.65</v>
      </c>
      <c r="H56" s="8" t="n">
        <v>5.73</v>
      </c>
      <c r="I56" s="22">
        <f>G56-H56</f>
        <v/>
      </c>
      <c r="J56" s="21" t="inlineStr">
        <is>
          <t>Ukraine Controlled Territory</t>
        </is>
      </c>
      <c r="K56" s="21" t="inlineStr">
        <is>
          <t>Cut from 5.73 MMT to 5.65 MMT</t>
        </is>
      </c>
    </row>
    <row r="57">
      <c r="A57" s="21" t="inlineStr">
        <is>
          <t>2026-10-05</t>
        </is>
      </c>
      <c r="B57" s="21" t="inlineStr">
        <is>
          <t>Ukraine</t>
        </is>
      </c>
      <c r="C57" s="4" t="inlineStr">
        <is>
          <t>APK-Inform</t>
        </is>
      </c>
      <c r="D57" s="21" t="inlineStr">
        <is>
          <t>2026/27</t>
        </is>
      </c>
      <c r="E57" s="4" t="inlineStr">
        <is>
          <t>Sunflower Oil</t>
        </is>
      </c>
      <c r="F57" s="21" t="inlineStr">
        <is>
          <t>Exports</t>
        </is>
      </c>
      <c r="G57" s="8" t="n">
        <v>5.2</v>
      </c>
      <c r="H57" s="8" t="n">
        <v>5.28</v>
      </c>
      <c r="I57" s="22">
        <f>G57-H57</f>
        <v/>
      </c>
      <c r="J57" s="21" t="inlineStr">
        <is>
          <t>Ukraine Controlled Territory</t>
        </is>
      </c>
      <c r="K57" s="21" t="inlineStr">
        <is>
          <t>Cut from 5.28 MMT to 5.20 MMT</t>
        </is>
      </c>
    </row>
    <row r="58">
      <c r="A58" s="21" t="inlineStr">
        <is>
          <t>2026-10-12</t>
        </is>
      </c>
      <c r="B58" s="21" t="inlineStr">
        <is>
          <t>Ukraine</t>
        </is>
      </c>
      <c r="C58" s="4" t="inlineStr">
        <is>
          <t>APK-Inform</t>
        </is>
      </c>
      <c r="D58" s="21" t="inlineStr">
        <is>
          <t>2026/27</t>
        </is>
      </c>
      <c r="E58" s="4" t="inlineStr">
        <is>
          <t>Total Grains</t>
        </is>
      </c>
      <c r="F58" s="21" t="inlineStr">
        <is>
          <t>Production</t>
        </is>
      </c>
      <c r="G58" s="8" t="n">
        <v>65.32299999999999</v>
      </c>
      <c r="H58" s="8" t="n">
        <v>65.249</v>
      </c>
      <c r="I58" s="22">
        <f>G58-H58</f>
        <v/>
      </c>
      <c r="J58" s="21" t="inlineStr">
        <is>
          <t>Ukraine Controlled Territory</t>
        </is>
      </c>
      <c r="K58" s="21" t="inlineStr">
        <is>
          <t>Latest Oct 12 S&amp;D balance (Screenshot 1)</t>
        </is>
      </c>
    </row>
    <row r="59">
      <c r="A59" s="21" t="inlineStr">
        <is>
          <t>2026-10-12</t>
        </is>
      </c>
      <c r="B59" s="21" t="inlineStr">
        <is>
          <t>Ukraine</t>
        </is>
      </c>
      <c r="C59" s="4" t="inlineStr">
        <is>
          <t>APK-Inform</t>
        </is>
      </c>
      <c r="D59" s="21" t="inlineStr">
        <is>
          <t>2026/27</t>
        </is>
      </c>
      <c r="E59" s="4" t="inlineStr">
        <is>
          <t>Total Grains</t>
        </is>
      </c>
      <c r="F59" s="21" t="inlineStr">
        <is>
          <t>Exports</t>
        </is>
      </c>
      <c r="G59" s="8" t="n">
        <v>31.706</v>
      </c>
      <c r="H59" s="8" t="n">
        <v>33.869</v>
      </c>
      <c r="I59" s="22">
        <f>G59-H59</f>
        <v/>
      </c>
      <c r="J59" s="21" t="inlineStr">
        <is>
          <t>Ukraine Controlled Territory</t>
        </is>
      </c>
      <c r="K59" s="21" t="inlineStr">
        <is>
          <t>Cut -6.5% to 31.71 MMT; ending stocks surge to record 27.0 MMT</t>
        </is>
      </c>
    </row>
    <row r="60">
      <c r="A60" s="21" t="inlineStr">
        <is>
          <t>2026-10-12</t>
        </is>
      </c>
      <c r="B60" s="21" t="inlineStr">
        <is>
          <t>Ukraine</t>
        </is>
      </c>
      <c r="C60" s="4" t="inlineStr">
        <is>
          <t>APK-Inform</t>
        </is>
      </c>
      <c r="D60" s="21" t="inlineStr">
        <is>
          <t>2026/27</t>
        </is>
      </c>
      <c r="E60" s="4" t="inlineStr">
        <is>
          <t>Wheat</t>
        </is>
      </c>
      <c r="F60" s="21" t="inlineStr">
        <is>
          <t>Production</t>
        </is>
      </c>
      <c r="G60" s="8" t="n">
        <v>25.522</v>
      </c>
      <c r="H60" s="8" t="n">
        <v>25.021</v>
      </c>
      <c r="I60" s="22">
        <f>G60-H60</f>
        <v/>
      </c>
      <c r="J60" s="21" t="inlineStr">
        <is>
          <t>Ukraine Controlled Territory</t>
        </is>
      </c>
      <c r="K60" s="21" t="inlineStr">
        <is>
          <t>Raised to 25.522 MMT from 25.021 MMT</t>
        </is>
      </c>
    </row>
    <row r="61">
      <c r="A61" s="21" t="inlineStr">
        <is>
          <t>2026-10-12</t>
        </is>
      </c>
      <c r="B61" s="21" t="inlineStr">
        <is>
          <t>Ukraine</t>
        </is>
      </c>
      <c r="C61" s="4" t="inlineStr">
        <is>
          <t>APK-Inform</t>
        </is>
      </c>
      <c r="D61" s="21" t="inlineStr">
        <is>
          <t>2026/27</t>
        </is>
      </c>
      <c r="E61" s="4" t="inlineStr">
        <is>
          <t>Wheat</t>
        </is>
      </c>
      <c r="F61" s="21" t="inlineStr">
        <is>
          <t>Exports</t>
        </is>
      </c>
      <c r="G61" s="8" t="n">
        <v>10.5</v>
      </c>
      <c r="H61" s="8" t="n">
        <v>10.5</v>
      </c>
      <c r="I61" s="22">
        <f>G61-H61</f>
        <v/>
      </c>
      <c r="J61" s="21" t="inlineStr">
        <is>
          <t>Ukraine Controlled Territory</t>
        </is>
      </c>
      <c r="K61" s="21" t="inlineStr">
        <is>
          <t>Maintained at 10.50 MMT</t>
        </is>
      </c>
    </row>
    <row r="62">
      <c r="A62" s="21" t="inlineStr">
        <is>
          <t>2026-10-12</t>
        </is>
      </c>
      <c r="B62" s="21" t="inlineStr">
        <is>
          <t>Ukraine</t>
        </is>
      </c>
      <c r="C62" s="4" t="inlineStr">
        <is>
          <t>APK-Inform</t>
        </is>
      </c>
      <c r="D62" s="21" t="inlineStr">
        <is>
          <t>2026/27</t>
        </is>
      </c>
      <c r="E62" s="4" t="inlineStr">
        <is>
          <t>Corn</t>
        </is>
      </c>
      <c r="F62" s="21" t="inlineStr">
        <is>
          <t>Production</t>
        </is>
      </c>
      <c r="G62" s="8" t="n">
        <v>31.849</v>
      </c>
      <c r="H62" s="8" t="n">
        <v>32.307</v>
      </c>
      <c r="I62" s="22">
        <f>G62-H62</f>
        <v/>
      </c>
      <c r="J62" s="21" t="inlineStr">
        <is>
          <t>Ukraine Controlled Territory</t>
        </is>
      </c>
      <c r="K62" s="21" t="inlineStr">
        <is>
          <t>Trimmed -1.5% to 31.849 MMT</t>
        </is>
      </c>
    </row>
    <row r="63">
      <c r="A63" s="21" t="inlineStr">
        <is>
          <t>2026-10-12</t>
        </is>
      </c>
      <c r="B63" s="21" t="inlineStr">
        <is>
          <t>Ukraine</t>
        </is>
      </c>
      <c r="C63" s="4" t="inlineStr">
        <is>
          <t>APK-Inform</t>
        </is>
      </c>
      <c r="D63" s="21" t="inlineStr">
        <is>
          <t>2026/27</t>
        </is>
      </c>
      <c r="E63" s="4" t="inlineStr">
        <is>
          <t>Corn</t>
        </is>
      </c>
      <c r="F63" s="21" t="inlineStr">
        <is>
          <t>Exports</t>
        </is>
      </c>
      <c r="G63" s="8" t="n">
        <v>20</v>
      </c>
      <c r="H63" s="8" t="n">
        <v>22</v>
      </c>
      <c r="I63" s="22">
        <f>G63-H63</f>
        <v/>
      </c>
      <c r="J63" s="21" t="inlineStr">
        <is>
          <t>Ukraine Controlled Territory</t>
        </is>
      </c>
      <c r="K63" s="21" t="inlineStr">
        <is>
          <t>Cut by 2.0 MMT to 20.0 MMT</t>
        </is>
      </c>
    </row>
    <row r="64">
      <c r="A64" s="21" t="inlineStr">
        <is>
          <t>2026-10-12</t>
        </is>
      </c>
      <c r="B64" s="21" t="inlineStr">
        <is>
          <t>Ukraine</t>
        </is>
      </c>
      <c r="C64" s="4" t="inlineStr">
        <is>
          <t>APK-Inform</t>
        </is>
      </c>
      <c r="D64" s="21" t="inlineStr">
        <is>
          <t>2026/27</t>
        </is>
      </c>
      <c r="E64" s="4" t="inlineStr">
        <is>
          <t>Sunflower Oil</t>
        </is>
      </c>
      <c r="F64" s="21" t="inlineStr">
        <is>
          <t>Production</t>
        </is>
      </c>
      <c r="G64" s="8" t="n">
        <v>5.49</v>
      </c>
      <c r="H64" s="8" t="n">
        <v>5.65</v>
      </c>
      <c r="I64" s="22">
        <f>G64-H64</f>
        <v/>
      </c>
      <c r="J64" s="21" t="inlineStr">
        <is>
          <t>Ukraine Controlled Territory</t>
        </is>
      </c>
      <c r="K64" s="21" t="inlineStr">
        <is>
          <t>Cut to 5.49 MMT from 5.65 MMT</t>
        </is>
      </c>
    </row>
    <row r="65">
      <c r="A65" s="21" t="inlineStr">
        <is>
          <t>2026-10-12</t>
        </is>
      </c>
      <c r="B65" s="21" t="inlineStr">
        <is>
          <t>Ukraine</t>
        </is>
      </c>
      <c r="C65" s="4" t="inlineStr">
        <is>
          <t>APK-Inform</t>
        </is>
      </c>
      <c r="D65" s="21" t="inlineStr">
        <is>
          <t>2026/27</t>
        </is>
      </c>
      <c r="E65" s="4" t="inlineStr">
        <is>
          <t>Sunflower Oil</t>
        </is>
      </c>
      <c r="F65" s="21" t="inlineStr">
        <is>
          <t>Exports</t>
        </is>
      </c>
      <c r="G65" s="8" t="n">
        <v>5.03</v>
      </c>
      <c r="H65" s="8" t="n">
        <v>5.2</v>
      </c>
      <c r="I65" s="22">
        <f>G65-H65</f>
        <v/>
      </c>
      <c r="J65" s="21" t="inlineStr">
        <is>
          <t>Ukraine Controlled Territory</t>
        </is>
      </c>
      <c r="K65" s="21" t="inlineStr">
        <is>
          <t>Cut to 5.03 MMT from 5.20 MMT</t>
        </is>
      </c>
    </row>
    <row r="66">
      <c r="A66" s="21" t="inlineStr">
        <is>
          <t>2026-10-06</t>
        </is>
      </c>
      <c r="B66" s="21" t="inlineStr">
        <is>
          <t>Ukraine</t>
        </is>
      </c>
      <c r="C66" s="4" t="inlineStr">
        <is>
          <t>Minagro (Ministry)</t>
        </is>
      </c>
      <c r="D66" s="21" t="inlineStr">
        <is>
          <t>2026/27</t>
        </is>
      </c>
      <c r="E66" s="4" t="inlineStr">
        <is>
          <t>Total Grains</t>
        </is>
      </c>
      <c r="F66" s="21" t="inlineStr">
        <is>
          <t>Production</t>
        </is>
      </c>
      <c r="G66" s="8" t="n">
        <v>60</v>
      </c>
      <c r="H66" s="8" t="n">
        <v>60</v>
      </c>
      <c r="I66" s="22">
        <f>G66-H66</f>
        <v/>
      </c>
      <c r="J66" s="21" t="inlineStr">
        <is>
          <t>Ukraine Controlled Territory</t>
        </is>
      </c>
      <c r="K66" s="21" t="inlineStr">
        <is>
          <t>Official Ministry grain crop forecast (~60 MMT)</t>
        </is>
      </c>
    </row>
    <row r="67">
      <c r="A67" s="21" t="inlineStr">
        <is>
          <t>2026-10-06</t>
        </is>
      </c>
      <c r="B67" s="21" t="inlineStr">
        <is>
          <t>Ukraine</t>
        </is>
      </c>
      <c r="C67" s="4" t="inlineStr">
        <is>
          <t>Minagro (Ministry)</t>
        </is>
      </c>
      <c r="D67" s="21" t="inlineStr">
        <is>
          <t>2026/27</t>
        </is>
      </c>
      <c r="E67" s="4" t="inlineStr">
        <is>
          <t>Wheat</t>
        </is>
      </c>
      <c r="F67" s="21" t="inlineStr">
        <is>
          <t>Production</t>
        </is>
      </c>
      <c r="G67" s="8" t="n">
        <v>26.01</v>
      </c>
      <c r="H67" s="21" t="inlineStr">
        <is>
          <t>N/A</t>
        </is>
      </c>
      <c r="I67" s="21" t="inlineStr">
        <is>
          <t>N/A</t>
        </is>
      </c>
      <c r="J67" s="21" t="inlineStr">
        <is>
          <t>Ukraine Controlled Territory</t>
        </is>
      </c>
      <c r="K67" s="21" t="inlineStr">
        <is>
          <t>100% threshed (5.116 Mha at 5.08 t/ha)</t>
        </is>
      </c>
    </row>
    <row r="68">
      <c r="A68" s="21" t="inlineStr">
        <is>
          <t>2026-10-06</t>
        </is>
      </c>
      <c r="B68" s="21" t="inlineStr">
        <is>
          <t>Ukraine</t>
        </is>
      </c>
      <c r="C68" s="4" t="inlineStr">
        <is>
          <t>Minagro (Ministry)</t>
        </is>
      </c>
      <c r="D68" s="21" t="inlineStr">
        <is>
          <t>2026/27</t>
        </is>
      </c>
      <c r="E68" s="4" t="inlineStr">
        <is>
          <t>Barley</t>
        </is>
      </c>
      <c r="F68" s="21" t="inlineStr">
        <is>
          <t>Production</t>
        </is>
      </c>
      <c r="G68" s="8" t="n">
        <v>6.58</v>
      </c>
      <c r="H68" s="21" t="inlineStr">
        <is>
          <t>N/A</t>
        </is>
      </c>
      <c r="I68" s="21" t="inlineStr">
        <is>
          <t>N/A</t>
        </is>
      </c>
      <c r="J68" s="21" t="inlineStr">
        <is>
          <t>Ukraine Controlled Territory</t>
        </is>
      </c>
      <c r="K68" s="21" t="inlineStr">
        <is>
          <t>100% threshed (1.477 Mha at 4.46 t/ha)</t>
        </is>
      </c>
    </row>
    <row r="69">
      <c r="A69" s="21" t="inlineStr">
        <is>
          <t>2026-10-06</t>
        </is>
      </c>
      <c r="B69" s="21" t="inlineStr">
        <is>
          <t>Ukraine</t>
        </is>
      </c>
      <c r="C69" s="4" t="inlineStr">
        <is>
          <t>Minagro (Ministry)</t>
        </is>
      </c>
      <c r="D69" s="21" t="inlineStr">
        <is>
          <t>2026/27</t>
        </is>
      </c>
      <c r="E69" s="4" t="inlineStr">
        <is>
          <t>Rapeseed</t>
        </is>
      </c>
      <c r="F69" s="21" t="inlineStr">
        <is>
          <t>Production</t>
        </is>
      </c>
      <c r="G69" s="8" t="n">
        <v>3.88</v>
      </c>
      <c r="H69" s="21" t="inlineStr">
        <is>
          <t>N/A</t>
        </is>
      </c>
      <c r="I69" s="21" t="inlineStr">
        <is>
          <t>N/A</t>
        </is>
      </c>
      <c r="J69" s="21" t="inlineStr">
        <is>
          <t>Ukraine Controlled Territory</t>
        </is>
      </c>
      <c r="K69" s="21" t="inlineStr">
        <is>
          <t>100% threshed (1.329 Mha at 2.92 t/ha)</t>
        </is>
      </c>
    </row>
    <row r="70">
      <c r="A70" s="21" t="inlineStr">
        <is>
          <t>2026-10-12</t>
        </is>
      </c>
      <c r="B70" s="21" t="inlineStr">
        <is>
          <t>Ukraine</t>
        </is>
      </c>
      <c r="C70" s="4" t="inlineStr">
        <is>
          <t>USDA FAS</t>
        </is>
      </c>
      <c r="D70" s="21" t="inlineStr">
        <is>
          <t>2026/27</t>
        </is>
      </c>
      <c r="E70" s="4" t="inlineStr">
        <is>
          <t>Wheat</t>
        </is>
      </c>
      <c r="F70" s="21" t="inlineStr">
        <is>
          <t>Production</t>
        </is>
      </c>
      <c r="G70" s="8" t="n">
        <v>26</v>
      </c>
      <c r="H70" s="8" t="n">
        <v>24.1</v>
      </c>
      <c r="I70" s="22">
        <f>G70-H70</f>
        <v/>
      </c>
      <c r="J70" s="21" t="inlineStr">
        <is>
          <t>International Borders</t>
        </is>
      </c>
      <c r="K70" s="21" t="inlineStr">
        <is>
          <t>Official USDA PSD 2026/27 vs 2025/26 (24.1 MMT)</t>
        </is>
      </c>
    </row>
    <row r="71">
      <c r="A71" s="21" t="inlineStr">
        <is>
          <t>2026-10-12</t>
        </is>
      </c>
      <c r="B71" s="21" t="inlineStr">
        <is>
          <t>Ukraine</t>
        </is>
      </c>
      <c r="C71" s="4" t="inlineStr">
        <is>
          <t>USDA FAS</t>
        </is>
      </c>
      <c r="D71" s="21" t="inlineStr">
        <is>
          <t>2026/27</t>
        </is>
      </c>
      <c r="E71" s="4" t="inlineStr">
        <is>
          <t>Wheat</t>
        </is>
      </c>
      <c r="F71" s="21" t="inlineStr">
        <is>
          <t>Exports</t>
        </is>
      </c>
      <c r="G71" s="8" t="n">
        <v>12.5</v>
      </c>
      <c r="H71" s="8" t="n">
        <v>14.104</v>
      </c>
      <c r="I71" s="22">
        <f>G71-H71</f>
        <v/>
      </c>
      <c r="J71" s="21" t="inlineStr">
        <is>
          <t>International Borders</t>
        </is>
      </c>
      <c r="K71" s="21" t="inlineStr">
        <is>
          <t>Official USDA PSD 2026/27 vs 2025/26</t>
        </is>
      </c>
    </row>
    <row r="72">
      <c r="A72" s="21" t="inlineStr">
        <is>
          <t>2026-10-12</t>
        </is>
      </c>
      <c r="B72" s="21" t="inlineStr">
        <is>
          <t>Ukraine</t>
        </is>
      </c>
      <c r="C72" s="4" t="inlineStr">
        <is>
          <t>USDA FAS</t>
        </is>
      </c>
      <c r="D72" s="21" t="inlineStr">
        <is>
          <t>2026/27</t>
        </is>
      </c>
      <c r="E72" s="4" t="inlineStr">
        <is>
          <t>Corn</t>
        </is>
      </c>
      <c r="F72" s="21" t="inlineStr">
        <is>
          <t>Production</t>
        </is>
      </c>
      <c r="G72" s="8" t="n">
        <v>31.8</v>
      </c>
      <c r="H72" s="8" t="n">
        <v>30.9</v>
      </c>
      <c r="I72" s="22">
        <f>G72-H72</f>
        <v/>
      </c>
      <c r="J72" s="21" t="inlineStr">
        <is>
          <t>International Borders</t>
        </is>
      </c>
      <c r="K72" s="21" t="inlineStr">
        <is>
          <t>Official USDA PSD 2026/27</t>
        </is>
      </c>
    </row>
    <row r="73">
      <c r="A73" s="21" t="inlineStr">
        <is>
          <t>2026-10-12</t>
        </is>
      </c>
      <c r="B73" s="21" t="inlineStr">
        <is>
          <t>Ukraine</t>
        </is>
      </c>
      <c r="C73" s="4" t="inlineStr">
        <is>
          <t>USDA FAS</t>
        </is>
      </c>
      <c r="D73" s="21" t="inlineStr">
        <is>
          <t>2026/27</t>
        </is>
      </c>
      <c r="E73" s="4" t="inlineStr">
        <is>
          <t>Corn</t>
        </is>
      </c>
      <c r="F73" s="21" t="inlineStr">
        <is>
          <t>Exports</t>
        </is>
      </c>
      <c r="G73" s="8" t="n">
        <v>22</v>
      </c>
      <c r="H73" s="8" t="n">
        <v>22.4</v>
      </c>
      <c r="I73" s="22">
        <f>G73-H73</f>
        <v/>
      </c>
      <c r="J73" s="21" t="inlineStr">
        <is>
          <t>International Borders</t>
        </is>
      </c>
      <c r="K73" s="21" t="inlineStr">
        <is>
          <t>Official USDA PSD 2026/27</t>
        </is>
      </c>
    </row>
    <row r="74">
      <c r="A74" s="21" t="inlineStr">
        <is>
          <t>2026-10-12</t>
        </is>
      </c>
      <c r="B74" s="21" t="inlineStr">
        <is>
          <t>Ukraine</t>
        </is>
      </c>
      <c r="C74" s="4" t="inlineStr">
        <is>
          <t>USDA FAS</t>
        </is>
      </c>
      <c r="D74" s="21" t="inlineStr">
        <is>
          <t>2026/27</t>
        </is>
      </c>
      <c r="E74" s="4" t="inlineStr">
        <is>
          <t>Barley</t>
        </is>
      </c>
      <c r="F74" s="21" t="inlineStr">
        <is>
          <t>Production</t>
        </is>
      </c>
      <c r="G74" s="8" t="n">
        <v>6.6</v>
      </c>
      <c r="H74" s="8" t="n">
        <v>5.6</v>
      </c>
      <c r="I74" s="22">
        <f>G74-H74</f>
        <v/>
      </c>
      <c r="J74" s="21" t="inlineStr">
        <is>
          <t>International Borders</t>
        </is>
      </c>
      <c r="K74" s="21" t="inlineStr">
        <is>
          <t>Official USDA PSD 2026/27</t>
        </is>
      </c>
    </row>
    <row r="75">
      <c r="A75" s="21" t="inlineStr">
        <is>
          <t>2026-10-12</t>
        </is>
      </c>
      <c r="B75" s="21" t="inlineStr">
        <is>
          <t>Ukraine</t>
        </is>
      </c>
      <c r="C75" s="4" t="inlineStr">
        <is>
          <t>USDA FAS</t>
        </is>
      </c>
      <c r="D75" s="21" t="inlineStr">
        <is>
          <t>2026/27</t>
        </is>
      </c>
      <c r="E75" s="4" t="inlineStr">
        <is>
          <t>Barley</t>
        </is>
      </c>
      <c r="F75" s="21" t="inlineStr">
        <is>
          <t>Exports</t>
        </is>
      </c>
      <c r="G75" s="8" t="n">
        <v>1.7</v>
      </c>
      <c r="H75" s="8" t="n">
        <v>1.484</v>
      </c>
      <c r="I75" s="22">
        <f>G75-H75</f>
        <v/>
      </c>
      <c r="J75" s="21" t="inlineStr">
        <is>
          <t>International Borders</t>
        </is>
      </c>
      <c r="K75" s="21" t="inlineStr">
        <is>
          <t>Official USDA PSD 2026/27</t>
        </is>
      </c>
    </row>
    <row r="76">
      <c r="A76" s="21" t="inlineStr">
        <is>
          <t>2026-10-12</t>
        </is>
      </c>
      <c r="B76" s="21" t="inlineStr">
        <is>
          <t>Ukraine</t>
        </is>
      </c>
      <c r="C76" s="4" t="inlineStr">
        <is>
          <t>USDA FAS</t>
        </is>
      </c>
      <c r="D76" s="21" t="inlineStr">
        <is>
          <t>2026/27</t>
        </is>
      </c>
      <c r="E76" s="4" t="inlineStr">
        <is>
          <t>Total Grains</t>
        </is>
      </c>
      <c r="F76" s="21" t="inlineStr">
        <is>
          <t>Production</t>
        </is>
      </c>
      <c r="G76" s="8" t="n">
        <v>64.40000000000001</v>
      </c>
      <c r="H76" s="8" t="n">
        <v>60.6</v>
      </c>
      <c r="I76" s="22">
        <f>G76-H76</f>
        <v/>
      </c>
      <c r="J76" s="21" t="inlineStr">
        <is>
          <t>Wheat + Corn + Barley Sum</t>
        </is>
      </c>
      <c r="K76" s="21" t="inlineStr">
        <is>
          <t>Sum of USDA Wheat (26.0) + Corn (31.8) + Barley (6.6)</t>
        </is>
      </c>
    </row>
    <row r="77">
      <c r="A77" s="21" t="inlineStr">
        <is>
          <t>2026-10-12</t>
        </is>
      </c>
      <c r="B77" s="21" t="inlineStr">
        <is>
          <t>Ukraine</t>
        </is>
      </c>
      <c r="C77" s="4" t="inlineStr">
        <is>
          <t>USDA FAS</t>
        </is>
      </c>
      <c r="D77" s="21" t="inlineStr">
        <is>
          <t>2026/27</t>
        </is>
      </c>
      <c r="E77" s="4" t="inlineStr">
        <is>
          <t>Total Grains</t>
        </is>
      </c>
      <c r="F77" s="21" t="inlineStr">
        <is>
          <t>Exports</t>
        </is>
      </c>
      <c r="G77" s="8" t="n">
        <v>36.2</v>
      </c>
      <c r="H77" s="8" t="n">
        <v>37.988</v>
      </c>
      <c r="I77" s="22">
        <f>G77-H77</f>
        <v/>
      </c>
      <c r="J77" s="21" t="inlineStr">
        <is>
          <t>Wheat + Corn + Barley Sum</t>
        </is>
      </c>
      <c r="K77" s="21" t="inlineStr">
        <is>
          <t>Sum of USDA Wheat (12.5) + Corn (22.0) + Barley (1.7)</t>
        </is>
      </c>
    </row>
    <row r="78">
      <c r="A78" s="21" t="inlineStr">
        <is>
          <t>2026-10-12</t>
        </is>
      </c>
      <c r="B78" s="21" t="inlineStr">
        <is>
          <t>Ukraine</t>
        </is>
      </c>
      <c r="C78" s="4" t="inlineStr">
        <is>
          <t>USDA FAS</t>
        </is>
      </c>
      <c r="D78" s="21" t="inlineStr">
        <is>
          <t>2026/27</t>
        </is>
      </c>
      <c r="E78" s="4" t="inlineStr">
        <is>
          <t>Sunflowerseed</t>
        </is>
      </c>
      <c r="F78" s="21" t="inlineStr">
        <is>
          <t>Production</t>
        </is>
      </c>
      <c r="G78" s="8" t="n">
        <v>13</v>
      </c>
      <c r="H78" s="8" t="n">
        <v>10.7</v>
      </c>
      <c r="I78" s="22">
        <f>G78-H78</f>
        <v/>
      </c>
      <c r="J78" s="21" t="inlineStr">
        <is>
          <t>International Borders</t>
        </is>
      </c>
      <c r="K78" s="21" t="inlineStr">
        <is>
          <t>Official USDA PSD 2026/27</t>
        </is>
      </c>
    </row>
    <row r="79">
      <c r="A79" s="21" t="inlineStr">
        <is>
          <t>2026-10-12</t>
        </is>
      </c>
      <c r="B79" s="21" t="inlineStr">
        <is>
          <t>Ukraine</t>
        </is>
      </c>
      <c r="C79" s="4" t="inlineStr">
        <is>
          <t>USDA FAS</t>
        </is>
      </c>
      <c r="D79" s="21" t="inlineStr">
        <is>
          <t>2026/27</t>
        </is>
      </c>
      <c r="E79" s="4" t="inlineStr">
        <is>
          <t>Sunflower Oil</t>
        </is>
      </c>
      <c r="F79" s="21" t="inlineStr">
        <is>
          <t>Production</t>
        </is>
      </c>
      <c r="G79" s="8" t="n">
        <v>5.418</v>
      </c>
      <c r="H79" s="8" t="n">
        <v>4.515</v>
      </c>
      <c r="I79" s="22">
        <f>G79-H79</f>
        <v/>
      </c>
      <c r="J79" s="21" t="inlineStr">
        <is>
          <t>International Borders</t>
        </is>
      </c>
      <c r="K79" s="21" t="inlineStr">
        <is>
          <t>Official USDA PSD 2026/27</t>
        </is>
      </c>
    </row>
    <row r="80">
      <c r="A80" s="21" t="inlineStr">
        <is>
          <t>2026-10-12</t>
        </is>
      </c>
      <c r="B80" s="21" t="inlineStr">
        <is>
          <t>Ukraine</t>
        </is>
      </c>
      <c r="C80" s="4" t="inlineStr">
        <is>
          <t>USDA FAS</t>
        </is>
      </c>
      <c r="D80" s="21" t="inlineStr">
        <is>
          <t>2026/27</t>
        </is>
      </c>
      <c r="E80" s="4" t="inlineStr">
        <is>
          <t>Sunflower Oil</t>
        </is>
      </c>
      <c r="F80" s="21" t="inlineStr">
        <is>
          <t>Exports</t>
        </is>
      </c>
      <c r="G80" s="8" t="n">
        <v>5</v>
      </c>
      <c r="H80" s="8" t="n">
        <v>4.036</v>
      </c>
      <c r="I80" s="22">
        <f>G80-H80</f>
        <v/>
      </c>
      <c r="J80" s="21" t="inlineStr">
        <is>
          <t>International Borders</t>
        </is>
      </c>
      <c r="K80" s="21" t="inlineStr">
        <is>
          <t>Official USDA PSD 2026/27</t>
        </is>
      </c>
    </row>
    <row r="81">
      <c r="A81" s="21" t="inlineStr">
        <is>
          <t>2026-10-12</t>
        </is>
      </c>
      <c r="B81" s="21" t="inlineStr">
        <is>
          <t>Ukraine</t>
        </is>
      </c>
      <c r="C81" s="4" t="inlineStr">
        <is>
          <t>USDA FAS</t>
        </is>
      </c>
      <c r="D81" s="21" t="inlineStr">
        <is>
          <t>2026/27</t>
        </is>
      </c>
      <c r="E81" s="4" t="inlineStr">
        <is>
          <t>Soybeans</t>
        </is>
      </c>
      <c r="F81" s="21" t="inlineStr">
        <is>
          <t>Production</t>
        </is>
      </c>
      <c r="G81" s="8" t="n">
        <v>5</v>
      </c>
      <c r="H81" s="8" t="n">
        <v>5.5</v>
      </c>
      <c r="I81" s="22">
        <f>G81-H81</f>
        <v/>
      </c>
      <c r="J81" s="21" t="inlineStr">
        <is>
          <t>International Borders</t>
        </is>
      </c>
      <c r="K81" s="21" t="inlineStr">
        <is>
          <t>Official USDA PSD 2026/27</t>
        </is>
      </c>
    </row>
    <row r="82">
      <c r="A82" s="21" t="inlineStr">
        <is>
          <t>2026-10-12</t>
        </is>
      </c>
      <c r="B82" s="21" t="inlineStr">
        <is>
          <t>Ukraine</t>
        </is>
      </c>
      <c r="C82" s="4" t="inlineStr">
        <is>
          <t>USDA FAS</t>
        </is>
      </c>
      <c r="D82" s="21" t="inlineStr">
        <is>
          <t>2026/27</t>
        </is>
      </c>
      <c r="E82" s="4" t="inlineStr">
        <is>
          <t>Rapeseed</t>
        </is>
      </c>
      <c r="F82" s="21" t="inlineStr">
        <is>
          <t>Production</t>
        </is>
      </c>
      <c r="G82" s="8" t="n">
        <v>4.35</v>
      </c>
      <c r="H82" s="8" t="n">
        <v>3.5</v>
      </c>
      <c r="I82" s="22">
        <f>G82-H82</f>
        <v/>
      </c>
      <c r="J82" s="21" t="inlineStr">
        <is>
          <t>International Borders</t>
        </is>
      </c>
      <c r="K82" s="21" t="inlineStr">
        <is>
          <t>Official USDA PSD 2026/27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Effective Start</t>
        </is>
      </c>
      <c r="B1" s="3" t="inlineStr">
        <is>
          <t>Effective End</t>
        </is>
      </c>
      <c r="C1" s="3" t="inlineStr">
        <is>
          <t>Wheat Tax (RUB/t)</t>
        </is>
      </c>
      <c r="D1" s="3" t="inlineStr">
        <is>
          <t>Wheat Indic. ($/t)</t>
        </is>
      </c>
      <c r="E1" s="3" t="inlineStr">
        <is>
          <t>Barley Tax (RUB/t)</t>
        </is>
      </c>
      <c r="F1" s="3" t="inlineStr">
        <is>
          <t>Barley Indic. ($/t)</t>
        </is>
      </c>
      <c r="G1" s="3" t="inlineStr">
        <is>
          <t>Corn Tax (RUB/t)</t>
        </is>
      </c>
      <c r="H1" s="3" t="inlineStr">
        <is>
          <t>Corn Indic. ($/t)</t>
        </is>
      </c>
      <c r="I1" s="3" t="inlineStr">
        <is>
          <t>Source</t>
        </is>
      </c>
    </row>
    <row r="2">
      <c r="A2" s="21" t="inlineStr">
        <is>
          <t>2026-07-09</t>
        </is>
      </c>
      <c r="B2" s="21" t="inlineStr">
        <is>
          <t>2026-07-15</t>
        </is>
      </c>
      <c r="C2" s="23" t="n">
        <v>0</v>
      </c>
      <c r="D2" s="24" t="n">
        <v>226.7</v>
      </c>
      <c r="E2" s="23" t="n">
        <v>0</v>
      </c>
      <c r="F2" s="24" t="n">
        <v>193.5</v>
      </c>
      <c r="G2" s="23" t="n">
        <v>961.7</v>
      </c>
      <c r="H2" s="24" t="n">
        <v>232.1</v>
      </c>
      <c r="I2" s="21" t="inlineStr">
        <is>
          <t>MinSelkhoz (Russian Ministry of Ag)</t>
        </is>
      </c>
    </row>
    <row r="3">
      <c r="A3" s="21" t="inlineStr">
        <is>
          <t>2026-07-16</t>
        </is>
      </c>
      <c r="B3" s="21" t="inlineStr">
        <is>
          <t>2026-07-22</t>
        </is>
      </c>
      <c r="C3" s="23" t="n">
        <v>0</v>
      </c>
      <c r="D3" s="24" t="n">
        <v>225</v>
      </c>
      <c r="E3" s="23" t="n">
        <v>0</v>
      </c>
      <c r="F3" s="24" t="n">
        <v>192.9</v>
      </c>
      <c r="G3" s="23" t="n">
        <v>947.1</v>
      </c>
      <c r="H3" s="24" t="n">
        <v>231.7</v>
      </c>
      <c r="I3" s="21" t="inlineStr">
        <is>
          <t>MinSelkhoz (Russian Ministry of Ag)</t>
        </is>
      </c>
    </row>
    <row r="4">
      <c r="A4" s="21" t="inlineStr">
        <is>
          <t>2026-07-23</t>
        </is>
      </c>
      <c r="B4" s="21" t="inlineStr">
        <is>
          <t>2026-07-29</t>
        </is>
      </c>
      <c r="C4" s="23" t="n">
        <v>0</v>
      </c>
      <c r="D4" s="24" t="n">
        <v>224.3</v>
      </c>
      <c r="E4" s="23" t="n">
        <v>0</v>
      </c>
      <c r="F4" s="24" t="n">
        <v>193.5</v>
      </c>
      <c r="G4" s="23" t="n">
        <v>840.8</v>
      </c>
      <c r="H4" s="24" t="n">
        <v>232.3</v>
      </c>
      <c r="I4" s="21" t="inlineStr">
        <is>
          <t>MinSelkhoz (Russian Ministry of Ag)</t>
        </is>
      </c>
    </row>
    <row r="5">
      <c r="A5" s="21" t="inlineStr">
        <is>
          <t>2026-07-30</t>
        </is>
      </c>
      <c r="B5" s="21" t="inlineStr">
        <is>
          <t>2026-08-05</t>
        </is>
      </c>
      <c r="C5" s="23" t="n">
        <v>0</v>
      </c>
      <c r="D5" s="24" t="n">
        <v>224.2</v>
      </c>
      <c r="E5" s="23" t="n">
        <v>0</v>
      </c>
      <c r="F5" s="24" t="n">
        <v>194.4</v>
      </c>
      <c r="G5" s="23" t="n">
        <v>215.3</v>
      </c>
      <c r="H5" s="24" t="n">
        <v>228.9</v>
      </c>
      <c r="I5" s="21" t="inlineStr">
        <is>
          <t>MinSelkhoz (Russian Ministry of Ag)</t>
        </is>
      </c>
    </row>
    <row r="6">
      <c r="A6" s="21" t="inlineStr">
        <is>
          <t>2026-08-06</t>
        </is>
      </c>
      <c r="B6" s="21" t="inlineStr">
        <is>
          <t>2026-08-12</t>
        </is>
      </c>
      <c r="C6" s="23" t="n">
        <v>19.4</v>
      </c>
      <c r="D6" s="24" t="n">
        <v>223.5</v>
      </c>
      <c r="E6" s="23" t="n">
        <v>0</v>
      </c>
      <c r="F6" s="24" t="n">
        <v>199.7</v>
      </c>
      <c r="G6" s="23" t="n">
        <v>371.5</v>
      </c>
      <c r="H6" s="24" t="n">
        <v>220.9</v>
      </c>
      <c r="I6" s="21" t="inlineStr">
        <is>
          <t>MinSelkhoz (Russian Ministry of Ag)</t>
        </is>
      </c>
    </row>
    <row r="7">
      <c r="A7" s="21" t="inlineStr">
        <is>
          <t>2026-08-13</t>
        </is>
      </c>
      <c r="B7" s="21" t="inlineStr">
        <is>
          <t>2026-08-19</t>
        </is>
      </c>
      <c r="C7" s="23" t="n">
        <v>0</v>
      </c>
      <c r="D7" s="24" t="n">
        <v>223.5</v>
      </c>
      <c r="E7" s="23" t="n">
        <v>0</v>
      </c>
      <c r="F7" s="24" t="n">
        <v>199.7</v>
      </c>
      <c r="G7" s="23" t="n">
        <v>0</v>
      </c>
      <c r="H7" s="24" t="n">
        <v>220.9</v>
      </c>
      <c r="I7" s="21" t="inlineStr">
        <is>
          <t>MinSelkhoz (Russian Ministry of Ag)</t>
        </is>
      </c>
    </row>
    <row r="8">
      <c r="A8" s="21" t="inlineStr">
        <is>
          <t>2026-08-20</t>
        </is>
      </c>
      <c r="B8" s="21" t="inlineStr">
        <is>
          <t>2026-08-26</t>
        </is>
      </c>
      <c r="C8" s="23" t="n">
        <v>0</v>
      </c>
      <c r="D8" s="24" t="n">
        <v>224</v>
      </c>
      <c r="E8" s="23" t="n">
        <v>0</v>
      </c>
      <c r="F8" s="24" t="n">
        <v>203.2</v>
      </c>
      <c r="G8" s="23" t="n">
        <v>0</v>
      </c>
      <c r="H8" s="24" t="n">
        <v>218.7</v>
      </c>
      <c r="I8" s="21" t="inlineStr">
        <is>
          <t>MinSelkhoz (Russian Ministry of Ag)</t>
        </is>
      </c>
    </row>
    <row r="9">
      <c r="A9" s="21" t="inlineStr">
        <is>
          <t>2026-08-26</t>
        </is>
      </c>
      <c r="B9" s="21" t="inlineStr">
        <is>
          <t>2026-09-01</t>
        </is>
      </c>
      <c r="C9" s="23" t="n">
        <v>1012.1</v>
      </c>
      <c r="D9" s="24" t="n">
        <v>225.2</v>
      </c>
      <c r="E9" s="23" t="n">
        <v>0</v>
      </c>
      <c r="F9" s="24" t="n">
        <v>203.8</v>
      </c>
      <c r="G9" s="23" t="n">
        <v>0</v>
      </c>
      <c r="H9" s="24" t="n">
        <v>218.8</v>
      </c>
      <c r="I9" s="21" t="inlineStr">
        <is>
          <t>MinSelkhoz (Russian Ministry of Ag)</t>
        </is>
      </c>
    </row>
    <row r="10">
      <c r="A10" s="21" t="inlineStr">
        <is>
          <t>2026-09-02</t>
        </is>
      </c>
      <c r="B10" s="21" t="inlineStr">
        <is>
          <t>2026-09-08</t>
        </is>
      </c>
      <c r="C10" s="23" t="n">
        <v>787.5</v>
      </c>
      <c r="D10" s="24" t="n">
        <v>228.6</v>
      </c>
      <c r="E10" s="23" t="n">
        <v>0</v>
      </c>
      <c r="F10" s="24" t="n">
        <v>189.3</v>
      </c>
      <c r="G10" s="23" t="n">
        <v>406.5</v>
      </c>
      <c r="H10" s="24" t="n">
        <v>220.6</v>
      </c>
      <c r="I10" s="21" t="inlineStr">
        <is>
          <t>MinSelkhoz (Russian Ministry of Ag)</t>
        </is>
      </c>
    </row>
    <row r="11">
      <c r="A11" s="21" t="inlineStr">
        <is>
          <t>2026-09-09</t>
        </is>
      </c>
      <c r="B11" s="21" t="inlineStr">
        <is>
          <t>2026-09-15</t>
        </is>
      </c>
      <c r="C11" s="23" t="n">
        <v>1179.3</v>
      </c>
      <c r="D11" s="24" t="n">
        <v>228</v>
      </c>
      <c r="E11" s="23" t="n">
        <v>0</v>
      </c>
      <c r="F11" s="24" t="n">
        <v>188.7</v>
      </c>
      <c r="G11" s="23" t="n">
        <v>898.1</v>
      </c>
      <c r="H11" s="24" t="n">
        <v>221.9</v>
      </c>
      <c r="I11" s="21" t="inlineStr">
        <is>
          <t>MinSelkhoz (Russian Ministry of Ag)</t>
        </is>
      </c>
    </row>
    <row r="12">
      <c r="A12" s="21" t="inlineStr">
        <is>
          <t>2026-09-16</t>
        </is>
      </c>
      <c r="B12" s="21" t="inlineStr">
        <is>
          <t>2026-09-22</t>
        </is>
      </c>
      <c r="C12" s="23" t="n">
        <v>1146.3</v>
      </c>
      <c r="D12" s="24" t="n">
        <v>227.5</v>
      </c>
      <c r="E12" s="23" t="n">
        <v>0</v>
      </c>
      <c r="F12" s="24" t="n">
        <v>187.1</v>
      </c>
      <c r="G12" s="23" t="n">
        <v>617.5</v>
      </c>
      <c r="H12" s="24" t="n">
        <v>217.3</v>
      </c>
      <c r="I12" s="21" t="inlineStr">
        <is>
          <t>MinSelkhoz (Russian Ministry of Ag)</t>
        </is>
      </c>
    </row>
    <row r="13">
      <c r="A13" s="21" t="inlineStr">
        <is>
          <t>2026-09-23</t>
        </is>
      </c>
      <c r="B13" s="21" t="inlineStr">
        <is>
          <t>2026-09-29</t>
        </is>
      </c>
      <c r="C13" s="23" t="n">
        <v>725.7</v>
      </c>
      <c r="D13" s="24" t="n">
        <v>225.9</v>
      </c>
      <c r="E13" s="23" t="n">
        <v>0</v>
      </c>
      <c r="F13" s="24" t="n">
        <v>187.6</v>
      </c>
      <c r="G13" s="23" t="n">
        <v>158.4</v>
      </c>
      <c r="H13" s="24" t="n">
        <v>214.8</v>
      </c>
      <c r="I13" s="21" t="inlineStr">
        <is>
          <t>MinSelkhoz (Russian Ministry of Ag)</t>
        </is>
      </c>
    </row>
    <row r="14">
      <c r="A14" s="21" t="inlineStr">
        <is>
          <t>2026-10-01</t>
        </is>
      </c>
      <c r="B14" s="21" t="inlineStr">
        <is>
          <t>2026-10-07</t>
        </is>
      </c>
      <c r="C14" s="23" t="n">
        <v>617.7</v>
      </c>
      <c r="D14" s="24" t="n">
        <v>225.8</v>
      </c>
      <c r="E14" s="23" t="n">
        <v>0</v>
      </c>
      <c r="F14" s="24" t="n">
        <v>200.4</v>
      </c>
      <c r="G14" s="23" t="n">
        <v>716.9</v>
      </c>
      <c r="H14" s="24" t="n">
        <v>226</v>
      </c>
      <c r="I14" s="21" t="inlineStr">
        <is>
          <t>MinSelkhoz (Russian Ministry of Ag)</t>
        </is>
      </c>
    </row>
    <row r="15">
      <c r="A15" s="21" t="inlineStr">
        <is>
          <t>2026-10-08</t>
        </is>
      </c>
      <c r="B15" s="21" t="inlineStr">
        <is>
          <t>2026-10-14</t>
        </is>
      </c>
      <c r="C15" s="23" t="n">
        <v>493.4</v>
      </c>
      <c r="D15" s="24" t="n">
        <v>225.8</v>
      </c>
      <c r="E15" s="23" t="n">
        <v>0</v>
      </c>
      <c r="F15" s="24" t="n">
        <v>198.4</v>
      </c>
      <c r="G15" s="23" t="n">
        <v>348.9</v>
      </c>
      <c r="H15" s="24" t="n">
        <v>221.8</v>
      </c>
      <c r="I15" s="21" t="inlineStr">
        <is>
          <t>MinSelkhoz (Russian Ministry of Ag)</t>
        </is>
      </c>
    </row>
    <row r="16">
      <c r="A16" s="21" t="inlineStr">
        <is>
          <t>2026-10-15</t>
        </is>
      </c>
      <c r="B16" s="21" t="inlineStr">
        <is>
          <t>2026-10-21</t>
        </is>
      </c>
      <c r="C16" s="23" t="n">
        <v>318.6</v>
      </c>
      <c r="D16" s="24" t="n">
        <v>225.4</v>
      </c>
      <c r="E16" s="23" t="n">
        <v>0</v>
      </c>
      <c r="F16" s="24" t="n">
        <v>196.5</v>
      </c>
      <c r="G16" s="23" t="n">
        <v>0</v>
      </c>
      <c r="H16" s="24" t="n">
        <v>216.4</v>
      </c>
      <c r="I16" s="21" t="inlineStr">
        <is>
          <t>MinSelkhoz (Russian Ministry of Ag)</t>
        </is>
      </c>
    </row>
    <row r="17">
      <c r="A17" s="21" t="inlineStr">
        <is>
          <t>2026-10-22</t>
        </is>
      </c>
      <c r="B17" s="21" t="inlineStr">
        <is>
          <t>2026-10-28</t>
        </is>
      </c>
      <c r="C17" s="23" t="n">
        <v>99.09999999999999</v>
      </c>
      <c r="D17" s="24" t="n">
        <v>225.5</v>
      </c>
      <c r="E17" s="23" t="n">
        <v>0</v>
      </c>
      <c r="F17" s="24" t="n">
        <v>193.6</v>
      </c>
      <c r="G17" s="23" t="n">
        <v>0</v>
      </c>
      <c r="H17" s="24" t="n">
        <v>215.7</v>
      </c>
      <c r="I17" s="21" t="inlineStr">
        <is>
          <t>MinSelkhoz (Russian Ministry of Ag)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2026-10-20T09:54:38Z</dcterms:created>
  <dcterms:modified xsi:type="dcterms:W3CDTF">2026-10-20T09:54:38Z</dcterms:modified>
</cp:coreProperties>
</file>