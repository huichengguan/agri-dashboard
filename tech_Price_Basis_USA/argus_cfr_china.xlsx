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uang\.gemini\antigravity\scratch\Technical Analyst\Price_Basis_USA\"/>
    </mc:Choice>
  </mc:AlternateContent>
  <xr:revisionPtr revIDLastSave="0" documentId="13_ncr:1_{43420A64-F600-4913-812A-EFDD058B44C8}" xr6:coauthVersionLast="47" xr6:coauthVersionMax="47" xr10:uidLastSave="{00000000-0000-0000-0000-000000000000}"/>
  <bookViews>
    <workbookView xWindow="-30828" yWindow="-108" windowWidth="30936" windowHeight="16776" firstSheet="1" activeTab="1" xr2:uid="{00CFEDA8-6464-4FAA-9C64-65385746C299}"/>
  </bookViews>
  <sheets>
    <sheet name="argusAddinHdnSheet" sheetId="2" state="hidden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3" i="2" l="1"/>
  <c r="A2" i="2"/>
  <c r="A1" i="2"/>
</calcChain>
</file>

<file path=xl/sharedStrings.xml><?xml version="1.0" encoding="utf-8"?>
<sst xmlns="http://schemas.openxmlformats.org/spreadsheetml/2006/main" count="24" uniqueCount="23">
  <si>
    <t>#ENDPRICES#</t>
  </si>
  <si>
    <t>46280#46309#0#0#9#0#False#0#-1#Prices</t>
  </si>
  <si>
    <t>False#excel default name</t>
  </si>
  <si>
    <t>combined_x000D_
description</t>
  </si>
  <si>
    <t>china</t>
  </si>
  <si>
    <t>Corn China cfr southern ports spot, No time stamp, midpoint, USD/t, cfr</t>
  </si>
  <si>
    <t>Corn China domestic cfr southern ports spot, No time stamp, midpoint, CNY/t, cfr</t>
  </si>
  <si>
    <t>Soybeans China cfr month 1, Singapore close, diff midpoint, USC/bushel, cfr</t>
  </si>
  <si>
    <t>318210801#3#1##8#1#80#cfr#0#1#1#0#0#1#1</t>
  </si>
  <si>
    <t>318210802#3#2##8#1#80#cfr#1#1#1#0#0#1#1</t>
  </si>
  <si>
    <t>318210803#3#3##8#1#80#cfr#2#1#1#0#0#1#1</t>
  </si>
  <si>
    <t>318210804#3#4##8#1#80#cfr#3#1#0#0#0#1#0</t>
  </si>
  <si>
    <t>318210804#3#4##8#1#80#cfr#4#0#1#0#0#0#1</t>
  </si>
  <si>
    <t>318210806#3#6##8#1#80#cfr#5#1#1#0#0#1#1</t>
  </si>
  <si>
    <t>318210807#3#7##8#1#80#cfr#6#1#1#0#0#1#1</t>
  </si>
  <si>
    <t>372180000#8#0##0#56#44#cfr#7#1#1#0#0#0#0</t>
  </si>
  <si>
    <t>372160000#8#0##0#3#44#cfr#8#1#1#0#0#0#0</t>
  </si>
  <si>
    <t>Soybeans China cfr month 2, Singapore close, diff midpoint, USC/bushel, cfr</t>
  </si>
  <si>
    <t>Soybeans China cfr month 3, Singapore close, diff midpoint, USC/bushel, cfr</t>
  </si>
  <si>
    <t>Soybeans China cfr month 4, Singapore close, diff midpoint, USC/bushel, cfr</t>
  </si>
  <si>
    <t>Soybeans China cfr month 6, Singapore close, diff midpoint, USC/bushel, cfr</t>
  </si>
  <si>
    <t>Soybeans China cfr month 7, Singapore close, diff midpoint, USC/bushel, cfr</t>
  </si>
  <si>
    <r>
      <t>Copyright 2026 Argus Media group.</t>
    </r>
    <r>
      <rPr>
        <sz val="11"/>
        <color rgb="FFA9A9A9"/>
        <rFont val="Aptos Narrow"/>
        <family val="2"/>
        <scheme val="minor"/>
      </rPr>
      <t xml:space="preserve"> Ref: 399018. Updated at 14-Oct-2026 03:52:21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</si>
</sst>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6" formatCode="\+0.000;\-0.000;0.000"/>
  </numFmts>
  <fonts count="2" x14ac:knownFonts="1">
    <font>
      <sz val="11"/>
      <color theme="1"/>
      <name val="Aptos Narrow"/>
      <family val="2"/>
      <scheme val="minor"/>
    </font>
    <font>
      <sz val="11"/>
      <color rgb="FFA9A9A9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DCDC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Protection="1">
      <protection locked="0"/>
    </xf>
    <xf numFmtId="0" fontId="0" fillId="2" borderId="0" xfId="0" applyFill="1" applyAlignment="1"/>
    <xf numFmtId="0" fontId="0" fillId="2" borderId="0" xfId="0" applyFill="1" applyAlignment="1">
      <alignment wrapText="1"/>
    </xf>
    <xf numFmtId="164" fontId="0" fillId="2" borderId="0" xfId="0" applyNumberFormat="1" applyFill="1" applyAlignment="1">
      <alignment horizontal="center" wrapText="1"/>
    </xf>
    <xf numFmtId="1" fontId="0" fillId="2" borderId="0" xfId="0" applyNumberFormat="1" applyFill="1" applyAlignment="1">
      <alignment wrapText="1"/>
    </xf>
    <xf numFmtId="166" fontId="0" fillId="2" borderId="0" xfId="0" applyNumberForma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B71B4-53A2-4B04-A66D-ED9D44FD3C88}">
  <dimension ref="A1:A20"/>
  <sheetViews>
    <sheetView workbookViewId="0"/>
  </sheetViews>
  <sheetFormatPr defaultRowHeight="14.5" x14ac:dyDescent="0.35"/>
  <sheetData>
    <row r="1" spans="1:1" x14ac:dyDescent="0.35">
      <c r="A1" t="str">
        <f>Sheet1!A1</f>
        <v>Copyright 2026 Argus Media group. Ref: 399018. Updated at 14-Oct-2026 03:52:21</v>
      </c>
    </row>
    <row r="2" spans="1:1" x14ac:dyDescent="0.35">
      <c r="A2" t="str">
        <f>Sheet1!A1:J17</f>
        <v>combined_x000D_
description</v>
      </c>
    </row>
    <row r="3" spans="1:1" x14ac:dyDescent="0.35">
      <c r="A3">
        <f>Sheet1!A3:J17</f>
        <v>46280</v>
      </c>
    </row>
    <row r="4" spans="1:1" x14ac:dyDescent="0.35">
      <c r="A4" t="s">
        <v>8</v>
      </c>
    </row>
    <row r="5" spans="1:1" x14ac:dyDescent="0.35">
      <c r="A5" t="s">
        <v>9</v>
      </c>
    </row>
    <row r="6" spans="1:1" x14ac:dyDescent="0.35">
      <c r="A6" t="s">
        <v>10</v>
      </c>
    </row>
    <row r="7" spans="1:1" x14ac:dyDescent="0.35">
      <c r="A7" t="s">
        <v>11</v>
      </c>
    </row>
    <row r="8" spans="1:1" x14ac:dyDescent="0.35">
      <c r="A8" t="s">
        <v>12</v>
      </c>
    </row>
    <row r="9" spans="1:1" x14ac:dyDescent="0.35">
      <c r="A9" t="s">
        <v>13</v>
      </c>
    </row>
    <row r="10" spans="1:1" x14ac:dyDescent="0.35">
      <c r="A10" t="s">
        <v>14</v>
      </c>
    </row>
    <row r="11" spans="1:1" x14ac:dyDescent="0.35">
      <c r="A11" t="s">
        <v>15</v>
      </c>
    </row>
    <row r="12" spans="1:1" x14ac:dyDescent="0.35">
      <c r="A12" t="s">
        <v>16</v>
      </c>
    </row>
    <row r="13" spans="1:1" x14ac:dyDescent="0.35">
      <c r="A13" t="s">
        <v>0</v>
      </c>
    </row>
    <row r="14" spans="1:1" x14ac:dyDescent="0.35">
      <c r="A14" t="s">
        <v>1</v>
      </c>
    </row>
    <row r="15" spans="1:1" x14ac:dyDescent="0.35">
      <c r="A15">
        <v>2</v>
      </c>
    </row>
    <row r="16" spans="1:1" x14ac:dyDescent="0.35">
      <c r="A16" t="b">
        <v>0</v>
      </c>
    </row>
    <row r="17" spans="1:1" x14ac:dyDescent="0.35">
      <c r="A17">
        <v>1</v>
      </c>
    </row>
    <row r="18" spans="1:1" x14ac:dyDescent="0.35">
      <c r="A18" t="s">
        <v>4</v>
      </c>
    </row>
    <row r="20" spans="1:1" x14ac:dyDescent="0.35">
      <c r="A20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2C92B-9C71-49C5-B9C0-59731D53B08C}">
  <dimension ref="A1:J17"/>
  <sheetViews>
    <sheetView tabSelected="1" workbookViewId="0">
      <selection activeCell="E25" sqref="E25"/>
    </sheetView>
  </sheetViews>
  <sheetFormatPr defaultRowHeight="14.5" x14ac:dyDescent="0.35"/>
  <cols>
    <col min="1" max="1" width="12.6328125" style="1" customWidth="1"/>
    <col min="2" max="10" width="23.6328125" style="1" customWidth="1"/>
    <col min="11" max="16384" width="8.7265625" style="1"/>
  </cols>
  <sheetData>
    <row r="1" spans="1:10" x14ac:dyDescent="0.35">
      <c r="A1" s="2" t="s">
        <v>22</v>
      </c>
      <c r="B1" s="3"/>
      <c r="C1" s="3"/>
      <c r="D1" s="3"/>
      <c r="E1" s="3"/>
      <c r="F1" s="3"/>
      <c r="G1" s="3"/>
      <c r="H1" s="3"/>
      <c r="I1" s="3"/>
      <c r="J1" s="3"/>
    </row>
    <row r="2" spans="1:10" ht="58" x14ac:dyDescent="0.35">
      <c r="A2" s="3" t="s">
        <v>3</v>
      </c>
      <c r="B2" s="3" t="s">
        <v>7</v>
      </c>
      <c r="C2" s="3" t="s">
        <v>17</v>
      </c>
      <c r="D2" s="3" t="s">
        <v>18</v>
      </c>
      <c r="E2" s="3" t="s">
        <v>19</v>
      </c>
      <c r="F2" s="3" t="s">
        <v>19</v>
      </c>
      <c r="G2" s="3" t="s">
        <v>20</v>
      </c>
      <c r="H2" s="3" t="s">
        <v>21</v>
      </c>
      <c r="I2" s="3" t="s">
        <v>6</v>
      </c>
      <c r="J2" s="3" t="s">
        <v>5</v>
      </c>
    </row>
    <row r="3" spans="1:10" x14ac:dyDescent="0.35">
      <c r="A3" s="4">
        <v>46280</v>
      </c>
      <c r="B3" s="6">
        <v>309</v>
      </c>
      <c r="C3" s="6">
        <v>322.5</v>
      </c>
      <c r="D3" s="6">
        <v>312.5</v>
      </c>
      <c r="E3" s="6">
        <v>295</v>
      </c>
      <c r="F3" s="6">
        <v>295</v>
      </c>
      <c r="G3" s="6">
        <v>121.5</v>
      </c>
      <c r="H3" s="6">
        <v>114</v>
      </c>
      <c r="I3" s="3"/>
      <c r="J3" s="3"/>
    </row>
    <row r="4" spans="1:10" x14ac:dyDescent="0.35">
      <c r="A4" s="4">
        <v>46281</v>
      </c>
      <c r="B4" s="6">
        <v>322.5</v>
      </c>
      <c r="C4" s="6">
        <v>312.5</v>
      </c>
      <c r="D4" s="6">
        <v>295</v>
      </c>
      <c r="E4" s="6">
        <v>156</v>
      </c>
      <c r="F4" s="6">
        <v>156</v>
      </c>
      <c r="G4" s="6">
        <v>111.5</v>
      </c>
      <c r="H4" s="6">
        <v>121.5</v>
      </c>
      <c r="I4" s="3"/>
      <c r="J4" s="3"/>
    </row>
    <row r="5" spans="1:10" x14ac:dyDescent="0.35">
      <c r="A5" s="4">
        <v>46282</v>
      </c>
      <c r="B5" s="6">
        <v>322.5</v>
      </c>
      <c r="C5" s="6">
        <v>312.5</v>
      </c>
      <c r="D5" s="6">
        <v>295</v>
      </c>
      <c r="E5" s="6">
        <v>156</v>
      </c>
      <c r="F5" s="6">
        <v>156</v>
      </c>
      <c r="G5" s="6">
        <v>107</v>
      </c>
      <c r="H5" s="6">
        <v>117.5</v>
      </c>
      <c r="I5" s="3"/>
      <c r="J5" s="3"/>
    </row>
    <row r="6" spans="1:10" x14ac:dyDescent="0.35">
      <c r="A6" s="4">
        <v>46283</v>
      </c>
      <c r="B6" s="6">
        <v>312.5</v>
      </c>
      <c r="C6" s="6">
        <v>307.5</v>
      </c>
      <c r="D6" s="6">
        <v>302.5</v>
      </c>
      <c r="E6" s="6">
        <v>155</v>
      </c>
      <c r="F6" s="6">
        <v>155</v>
      </c>
      <c r="G6" s="6">
        <v>106.5</v>
      </c>
      <c r="H6" s="6">
        <v>117.5</v>
      </c>
      <c r="I6" s="5">
        <v>2420</v>
      </c>
      <c r="J6" s="5">
        <v>300</v>
      </c>
    </row>
    <row r="7" spans="1:10" x14ac:dyDescent="0.35">
      <c r="A7" s="4">
        <v>46286</v>
      </c>
      <c r="B7" s="6">
        <v>312.5</v>
      </c>
      <c r="C7" s="6">
        <v>307.5</v>
      </c>
      <c r="D7" s="6">
        <v>302.5</v>
      </c>
      <c r="E7" s="6">
        <v>153.5</v>
      </c>
      <c r="F7" s="6">
        <v>153.5</v>
      </c>
      <c r="G7" s="6">
        <v>105.5</v>
      </c>
      <c r="H7" s="6">
        <v>116</v>
      </c>
      <c r="I7" s="3"/>
      <c r="J7" s="3"/>
    </row>
    <row r="8" spans="1:10" x14ac:dyDescent="0.35">
      <c r="A8" s="4">
        <v>46287</v>
      </c>
      <c r="B8" s="6">
        <v>312.5</v>
      </c>
      <c r="C8" s="6">
        <v>307.5</v>
      </c>
      <c r="D8" s="6">
        <v>302.5</v>
      </c>
      <c r="E8" s="6">
        <v>152.5</v>
      </c>
      <c r="F8" s="6">
        <v>152.5</v>
      </c>
      <c r="G8" s="6">
        <v>102.5</v>
      </c>
      <c r="H8" s="6">
        <v>112.5</v>
      </c>
      <c r="I8" s="3"/>
      <c r="J8" s="3"/>
    </row>
    <row r="9" spans="1:10" x14ac:dyDescent="0.35">
      <c r="A9" s="4">
        <v>46288</v>
      </c>
      <c r="B9" s="6">
        <v>312.5</v>
      </c>
      <c r="C9" s="6">
        <v>307.5</v>
      </c>
      <c r="D9" s="6">
        <v>302.5</v>
      </c>
      <c r="E9" s="6">
        <v>154</v>
      </c>
      <c r="F9" s="6">
        <v>154</v>
      </c>
      <c r="G9" s="6">
        <v>102.5</v>
      </c>
      <c r="H9" s="6">
        <v>112.5</v>
      </c>
      <c r="I9" s="3"/>
      <c r="J9" s="3"/>
    </row>
    <row r="10" spans="1:10" x14ac:dyDescent="0.35">
      <c r="A10" s="4">
        <v>46289</v>
      </c>
      <c r="B10" s="6">
        <v>312.5</v>
      </c>
      <c r="C10" s="6">
        <v>307.5</v>
      </c>
      <c r="D10" s="6">
        <v>302.5</v>
      </c>
      <c r="E10" s="6">
        <v>152</v>
      </c>
      <c r="F10" s="6">
        <v>152</v>
      </c>
      <c r="G10" s="6">
        <v>102.5</v>
      </c>
      <c r="H10" s="6">
        <v>112.5</v>
      </c>
      <c r="I10" s="5">
        <v>2390</v>
      </c>
      <c r="J10" s="5">
        <v>300</v>
      </c>
    </row>
    <row r="11" spans="1:10" x14ac:dyDescent="0.35">
      <c r="A11" s="4">
        <v>46293</v>
      </c>
      <c r="B11" s="6">
        <v>312.5</v>
      </c>
      <c r="C11" s="6">
        <v>307.5</v>
      </c>
      <c r="D11" s="6">
        <v>302.5</v>
      </c>
      <c r="E11" s="6">
        <v>152.5</v>
      </c>
      <c r="F11" s="6">
        <v>152.5</v>
      </c>
      <c r="G11" s="6">
        <v>104</v>
      </c>
      <c r="H11" s="6">
        <v>114</v>
      </c>
      <c r="I11" s="3"/>
      <c r="J11" s="3"/>
    </row>
    <row r="12" spans="1:10" x14ac:dyDescent="0.35">
      <c r="A12" s="4">
        <v>46294</v>
      </c>
      <c r="B12" s="6">
        <v>312.5</v>
      </c>
      <c r="C12" s="6">
        <v>307.5</v>
      </c>
      <c r="D12" s="6">
        <v>302.5</v>
      </c>
      <c r="E12" s="6">
        <v>154.5</v>
      </c>
      <c r="F12" s="6">
        <v>154.5</v>
      </c>
      <c r="G12" s="6">
        <v>104</v>
      </c>
      <c r="H12" s="6">
        <v>114</v>
      </c>
      <c r="I12" s="3"/>
      <c r="J12" s="3"/>
    </row>
    <row r="13" spans="1:10" x14ac:dyDescent="0.35">
      <c r="A13" s="4">
        <v>46295</v>
      </c>
      <c r="B13" s="6">
        <v>312.5</v>
      </c>
      <c r="C13" s="6">
        <v>307.5</v>
      </c>
      <c r="D13" s="6">
        <v>302.5</v>
      </c>
      <c r="E13" s="6">
        <v>154.5</v>
      </c>
      <c r="F13" s="6">
        <v>154.5</v>
      </c>
      <c r="G13" s="6">
        <v>104</v>
      </c>
      <c r="H13" s="6">
        <v>114</v>
      </c>
      <c r="I13" s="3"/>
      <c r="J13" s="3"/>
    </row>
    <row r="14" spans="1:10" x14ac:dyDescent="0.35">
      <c r="A14" s="4">
        <v>46303</v>
      </c>
      <c r="B14" s="6">
        <v>312.5</v>
      </c>
      <c r="C14" s="6">
        <v>307.5</v>
      </c>
      <c r="D14" s="6">
        <v>302.5</v>
      </c>
      <c r="E14" s="6">
        <v>151.5</v>
      </c>
      <c r="F14" s="6">
        <v>151.5</v>
      </c>
      <c r="G14" s="6">
        <v>104.5</v>
      </c>
      <c r="H14" s="6">
        <v>115</v>
      </c>
      <c r="I14" s="3"/>
      <c r="J14" s="3"/>
    </row>
    <row r="15" spans="1:10" x14ac:dyDescent="0.35">
      <c r="A15" s="4">
        <v>46304</v>
      </c>
      <c r="B15" s="6">
        <v>312.5</v>
      </c>
      <c r="C15" s="6">
        <v>307.5</v>
      </c>
      <c r="D15" s="6">
        <v>302.5</v>
      </c>
      <c r="E15" s="6">
        <v>154.5</v>
      </c>
      <c r="F15" s="6">
        <v>154.5</v>
      </c>
      <c r="G15" s="6">
        <v>104.5</v>
      </c>
      <c r="H15" s="6">
        <v>114</v>
      </c>
      <c r="I15" s="5">
        <v>2330</v>
      </c>
      <c r="J15" s="5">
        <v>280</v>
      </c>
    </row>
    <row r="16" spans="1:10" x14ac:dyDescent="0.35">
      <c r="A16" s="4">
        <v>46307</v>
      </c>
      <c r="B16" s="6">
        <v>312.5</v>
      </c>
      <c r="C16" s="6">
        <v>307.5</v>
      </c>
      <c r="D16" s="6">
        <v>302.5</v>
      </c>
      <c r="E16" s="6">
        <v>152.5</v>
      </c>
      <c r="F16" s="6">
        <v>152.5</v>
      </c>
      <c r="G16" s="6">
        <v>107</v>
      </c>
      <c r="H16" s="6">
        <v>117</v>
      </c>
      <c r="I16" s="3"/>
      <c r="J16" s="3"/>
    </row>
    <row r="17" spans="1:10" x14ac:dyDescent="0.35">
      <c r="A17" s="4">
        <v>46308</v>
      </c>
      <c r="B17" s="6">
        <v>325</v>
      </c>
      <c r="C17" s="6">
        <v>315</v>
      </c>
      <c r="D17" s="6">
        <v>319</v>
      </c>
      <c r="E17" s="6">
        <v>156.5</v>
      </c>
      <c r="F17" s="6">
        <v>156.5</v>
      </c>
      <c r="G17" s="6">
        <v>107.5</v>
      </c>
      <c r="H17" s="6">
        <v>118.5</v>
      </c>
      <c r="I17" s="3"/>
      <c r="J17" s="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rgus-direct-storage xmlns="urn:argus-direct-storage:queries">{
  "FileFormat": "Argus Direct query file",
  "FileFormatVersion": "1.0.0.0",
  "FileCreated": "2026-10-13T19:52:24.5825221Z",
  "UserId": 399018,
  "Description": null,
  "Queries": {
    "Sheet1": [
      {
        "SelectedPrices": [
          {
            "FwYear": 0.0,
            "FwPeriod": 0.0,
            "IsStartTiming": true,
            "IsEndTiming": true,
            "IsStartGroup": true,
            "IsEndGroup": true,
            "DisplayOrder": 0,
            "QuoteID": 318210801.0,
            "PriceTypeID": 3.0,
            "ContinuousForward": 1.0,
            "TimestampID": 8.0,
            "HasFwInfo": false,
            "CurrencyID": 1.0,
            "MeasureID": 80.0,
            "DelMode": "cfr"
          },
          {
            "FwYear": 0.0,
            "FwPeriod": 0.0,
            "IsStartTiming": true,
            "IsEndTiming": true,
            "IsStartGroup": true,
            "IsEndGroup": true,
            "DisplayOrder": 1,
            "QuoteID": 318210802.0,
            "PriceTypeID": 3.0,
            "ContinuousForward": 2.0,
            "TimestampID": 8.0,
            "HasFwInfo": false,
            "CurrencyID": 1.0,
            "MeasureID": 80.0,
            "DelMode": "cfr"
          },
          {
            "FwYear": 0.0,
            "FwPeriod": 0.0,
            "IsStartTiming": true,
            "IsEndTiming": true,
            "IsStartGroup": true,
            "IsEndGroup": true,
            "DisplayOrder": 2,
            "QuoteID": 318210803.0,
            "PriceTypeID": 3.0,
            "ContinuousForward": 3.0,
            "TimestampID": 8.0,
            "HasFwInfo": false,
            "CurrencyID": 1.0,
            "MeasureID": 80.0,
            "DelMode": "cfr"
          },
          {
            "FwYear": 0.0,
            "FwPeriod": 0.0,
            "IsStartTiming": true,
            "IsEndTiming": false,
            "IsStartGroup": true,
            "IsEndGroup": false,
            "DisplayOrder": 3,
            "QuoteID": 318210804.0,
            "PriceTypeID": 3.0,
            "ContinuousForward": 4.0,
            "TimestampID": 8.0,
            "HasFwInfo": false,
            "CurrencyID": 1.0,
            "MeasureID": 80.0,
            "DelMode": "cfr"
          },
          {
            "FwYear": 0.0,
            "FwPeriod": 0.0,
            "IsStartTiming": false,
            "IsEndTiming": true,
            "IsStartGroup": false,
            "IsEndGroup": true,
            "DisplayOrder": 4,
            "QuoteID": 318210804.0,
            "PriceTypeID": 3.0,
            "ContinuousForward": 4.0,
            "TimestampID": 8.0,
            "HasFwInfo": false,
            "CurrencyID": 1.0,
            "MeasureID": 80.0,
            "DelMode": "cfr"
          },
          {
            "FwYear": 0.0,
            "FwPeriod": 0.0,
            "IsStartTiming": true,
            "IsEndTiming": true,
            "IsStartGroup": true,
            "IsEndGroup": true,
            "DisplayOrder": 5,
            "QuoteID": 318210806.0,
            "PriceTypeID": 3.0,
            "ContinuousForward": 6.0,
            "TimestampID": 8.0,
            "HasFwInfo": false,
            "CurrencyID": 1.0,
            "MeasureID": 80.0,
            "DelMode": "cfr"
          },
          {
            "FwYear": 0.0,
            "FwPeriod": 0.0,
            "IsStartTiming": true,
            "IsEndTiming": true,
            "IsStartGroup": true,
            "IsEndGroup": true,
            "DisplayOrder": 6,
            "QuoteID": 318210807.0,
            "PriceTypeID": 3.0,
            "ContinuousForward": 7.0,
            "TimestampID": 8.0,
            "HasFwInfo": false,
            "CurrencyID": 1.0,
            "MeasureID": 80.0,
            "DelMode": "cfr"
          },
          {
            "FwYear": 0.0,
            "FwPeriod": 0.0,
            "IsStartTiming": false,
            "IsEndTiming": false,
            "IsStartGroup": true,
            "IsEndGroup": true,
            "DisplayOrder": 7,
            "QuoteID": 372180000.0,
            "PriceTypeID": 8.0,
            "ContinuousForward": 0.0,
            "TimestampID": 0.0,
            "HasFwInfo": false,
            "CurrencyID": 56.0,
            "MeasureID": 44.0,
            "DelMode": "cfr"
          },
          {
            "FwYear": 0.0,
            "FwPeriod": 0.0,
            "IsStartTiming": false,
            "IsEndTiming": false,
            "IsStartGroup": true,
            "IsEndGroup": true,
            "DisplayOrder": 8,
            "QuoteID": 372160000.0,
            "PriceTypeID": 8.0,
            "ContinuousForward": 0.0,
            "TimestampID": 0.0,
            "HasFwInfo": false,
            "CurrencyID": 3.0,
            "MeasureID": 44.0,
            "DelMode": "cfr"
          }
        ],
        "SelectedCategories": [],
        "SelectedFC": [],
        "SelectedCrv": [],
        "SearchMode": 1,
        "SearchString": "china",
        "IncludeInactivePrices": false,
        "IsLatestAvailable": false,
        "CellAddress": "A1",
        "OutputLayout": 0,
        "OutputDateRange": 2,
        "OutputPreferences": 9,
        "OutputFrequencyID": 0,
        "OutputSorting": 0,
        "OutputMissingData": 0,
        "StartDate": "2026-09-15T00:00:00",
        "EndDate": "2026-10-14T00:00:00",
        "LimitToTimingId": -1.0,
        "SourceMode": 0,
        "CreateTable": false,
        "TableName": "excel default name",
        "RangeAddress": "A1:J17",
        "DataRangeAddress": "A3:J17"
      }
    ]
  }
}</argus-direct-storage>
</file>

<file path=customXml/itemProps1.xml><?xml version="1.0" encoding="utf-8"?>
<ds:datastoreItem xmlns:ds="http://schemas.openxmlformats.org/officeDocument/2006/customXml" ds:itemID="{E327DD40-D59B-4994-89AD-2FC579A52DF2}">
  <ds:schemaRefs>
    <ds:schemaRef ds:uri="urn:argus-direct-storage:quer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argusAddinHdnSheet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Hui Cheng Guan</dc:creator>
  <cp:lastModifiedBy>Hui Cheng Guan</cp:lastModifiedBy>
  <dcterms:created xsi:type="dcterms:W3CDTF">2026-10-13T19:45:01Z</dcterms:created>
  <dcterms:modified xsi:type="dcterms:W3CDTF">2026-10-13T19:52:24Z</dcterms:modified>
</cp:coreProperties>
</file>