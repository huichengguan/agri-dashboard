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volatileDependencies.xml" ContentType="application/vnd.openxmlformats-officedocument.spreadsheetml.volatileDependencies+xml"/>
  <Override PartName="/xl/python.xml" ContentType="application/vnd.ms-excel.pyth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uang\.gemini\antigravity\scratch\Technical Analyst\Volatility\"/>
    </mc:Choice>
  </mc:AlternateContent>
  <xr:revisionPtr revIDLastSave="0" documentId="13_ncr:1_{98B7CF18-DCE2-4005-8A4A-B8F03CAA878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ashboard" sheetId="9" r:id="rId1"/>
    <sheet name="Instrument" sheetId="4" r:id="rId2"/>
    <sheet name="DataBackup" sheetId="1" state="hidden" r:id="rId3"/>
    <sheet name="Data" sheetId="7" r:id="rId4"/>
    <sheet name="VaR" sheetId="8" r:id="rId5"/>
    <sheet name="Volatility" sheetId="10" r:id="rId6"/>
  </sheets>
  <definedNames>
    <definedName name="ExternalData_1" localSheetId="4" hidden="1">VaR!$A$1:$U$261</definedName>
    <definedName name="ExternalData_1" localSheetId="5" hidden="1">Volatility!$A$1:$V$261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9" l="1"/>
  <c r="C23" i="9"/>
  <c r="B24" i="9"/>
  <c r="C24" i="9"/>
  <c r="BJ1" i="4"/>
  <c r="B24" i="7" s="1"/>
  <c r="Z3" i="4"/>
  <c r="BG3" i="4"/>
  <c r="AF3" i="4"/>
  <c r="AU3" i="4"/>
  <c r="AX3" i="4"/>
  <c r="AR3" i="4"/>
  <c r="BD3" i="4"/>
  <c r="AL3" i="4"/>
  <c r="AC3" i="4"/>
  <c r="N3" i="4"/>
  <c r="Q3" i="4"/>
  <c r="K3" i="4"/>
  <c r="E3" i="4"/>
  <c r="T3" i="4"/>
  <c r="AO3" i="4"/>
  <c r="BA3" i="4"/>
  <c r="AI3" i="4"/>
  <c r="H3" i="4"/>
  <c r="W3" i="4"/>
  <c r="BJ3" i="4"/>
  <c r="B3" i="4"/>
  <c r="B22" i="9" l="1"/>
  <c r="C22" i="9"/>
  <c r="AM3" i="4"/>
  <c r="AY3" i="4"/>
  <c r="AS3" i="4"/>
  <c r="U3" i="4"/>
  <c r="O3" i="4"/>
  <c r="BH3" i="4"/>
  <c r="AP3" i="4"/>
  <c r="X3" i="4"/>
  <c r="AJ3" i="4"/>
  <c r="I3" i="4"/>
  <c r="BK3" i="4"/>
  <c r="AD3" i="4"/>
  <c r="C3" i="4"/>
  <c r="AG3" i="4"/>
  <c r="F3" i="4"/>
  <c r="L3" i="4"/>
  <c r="AV3" i="4"/>
  <c r="AA3" i="4"/>
  <c r="BB3" i="4"/>
  <c r="R3" i="4"/>
  <c r="BE3" i="4"/>
  <c r="AF1" i="4" l="1"/>
  <c r="AO1" i="4"/>
  <c r="BG1" i="4"/>
  <c r="B25" i="7" s="1"/>
  <c r="AU1" i="4"/>
  <c r="E1" i="4"/>
  <c r="B1" i="4"/>
  <c r="H1" i="4"/>
  <c r="Z1" i="4"/>
  <c r="Q1" i="4"/>
  <c r="T1" i="4"/>
  <c r="AL1" i="4"/>
  <c r="AC1" i="4"/>
  <c r="AR1" i="4"/>
  <c r="AI1" i="4"/>
  <c r="BD1" i="4"/>
  <c r="N1" i="4"/>
  <c r="K1" i="4"/>
  <c r="AX1" i="4"/>
  <c r="AC1" i="10"/>
  <c r="B3" i="9"/>
  <c r="C3" i="9"/>
  <c r="D3" i="9"/>
  <c r="E3" i="9"/>
  <c r="F3" i="9"/>
  <c r="G3" i="9"/>
  <c r="H3" i="9"/>
  <c r="I3" i="9"/>
  <c r="J3" i="9"/>
  <c r="K3" i="9"/>
  <c r="B4" i="9"/>
  <c r="C4" i="9"/>
  <c r="B5" i="9"/>
  <c r="C5" i="9"/>
  <c r="B6" i="9"/>
  <c r="C6" i="9"/>
  <c r="B7" i="9"/>
  <c r="C7" i="9"/>
  <c r="B8" i="9"/>
  <c r="C8" i="9"/>
  <c r="B9" i="9"/>
  <c r="C9" i="9"/>
  <c r="B10" i="9"/>
  <c r="C10" i="9"/>
  <c r="B11" i="9"/>
  <c r="C11" i="9"/>
  <c r="B12" i="9"/>
  <c r="C12" i="9"/>
  <c r="B13" i="9"/>
  <c r="C13" i="9"/>
  <c r="B14" i="9"/>
  <c r="C14" i="9"/>
  <c r="B15" i="9"/>
  <c r="C15" i="9"/>
  <c r="B16" i="9"/>
  <c r="C16" i="9"/>
  <c r="B17" i="9"/>
  <c r="C17" i="9"/>
  <c r="B18" i="9"/>
  <c r="C18" i="9"/>
  <c r="B19" i="9"/>
  <c r="C19" i="9"/>
  <c r="B20" i="9"/>
  <c r="C20" i="9"/>
  <c r="B21" i="9"/>
  <c r="C21" i="9"/>
  <c r="F2" i="9"/>
  <c r="H2" i="9"/>
  <c r="J2" i="9"/>
  <c r="BF15" i="8"/>
  <c r="AU1" i="8"/>
  <c r="B2" i="9" s="1"/>
  <c r="BF17" i="8"/>
  <c r="BF14" i="8"/>
  <c r="BF13" i="8"/>
  <c r="BF12" i="8"/>
  <c r="BF11" i="8"/>
  <c r="BF10" i="8"/>
  <c r="AE1" i="8" a="1"/>
  <c r="BA1" i="4"/>
  <c r="B22" i="1" s="1"/>
  <c r="W1" i="4"/>
  <c r="B12" i="1" s="1"/>
  <c r="B12" i="7" l="1"/>
  <c r="B22" i="7"/>
  <c r="BH1" i="8" a="1"/>
  <c r="B13" i="1"/>
  <c r="B13" i="7"/>
  <c r="B7" i="1"/>
  <c r="B7" i="7" l="1"/>
  <c r="B17" i="1"/>
  <c r="B17" i="7"/>
  <c r="B19" i="1"/>
  <c r="B19" i="7"/>
  <c r="B16" i="1"/>
  <c r="B16" i="7"/>
  <c r="B21" i="1"/>
  <c r="B21" i="7"/>
  <c r="B23" i="1"/>
  <c r="B23" i="7"/>
  <c r="B20" i="1"/>
  <c r="B20" i="7"/>
  <c r="B14" i="1"/>
  <c r="B14" i="7"/>
  <c r="B8" i="1"/>
  <c r="B8" i="7"/>
  <c r="B18" i="1"/>
  <c r="B18" i="7"/>
  <c r="B15" i="1"/>
  <c r="B15" i="7"/>
  <c r="B10" i="1"/>
  <c r="B10" i="7"/>
  <c r="B11" i="1"/>
  <c r="B11" i="7"/>
  <c r="B9" i="1"/>
  <c r="B9" i="7"/>
  <c r="AE2" i="8" a="1"/>
  <c r="BA23" i="8" l="1"/>
  <c r="BB23" i="8"/>
  <c r="BA22" i="8"/>
  <c r="H23" i="9" s="1"/>
  <c r="BB22" i="8"/>
  <c r="I23" i="9" s="1"/>
  <c r="BB9" i="8"/>
  <c r="BB16" i="8"/>
  <c r="BB17" i="8"/>
  <c r="BA11" i="8"/>
  <c r="BA19" i="8"/>
  <c r="BB12" i="8"/>
  <c r="BB20" i="8"/>
  <c r="BA14" i="8"/>
  <c r="BB21" i="8"/>
  <c r="I22" i="9" s="1"/>
  <c r="BA15" i="8"/>
  <c r="BB8" i="8"/>
  <c r="BB15" i="8"/>
  <c r="BA9" i="8"/>
  <c r="BA16" i="8"/>
  <c r="BA10" i="8"/>
  <c r="BA17" i="8"/>
  <c r="BB10" i="8"/>
  <c r="BA18" i="8"/>
  <c r="BB11" i="8"/>
  <c r="BB18" i="8"/>
  <c r="BA12" i="8"/>
  <c r="BB19" i="8"/>
  <c r="BA13" i="8"/>
  <c r="BA20" i="8"/>
  <c r="BB13" i="8"/>
  <c r="BA21" i="8"/>
  <c r="H22" i="9" s="1"/>
  <c r="BB14" i="8"/>
  <c r="BA8" i="8"/>
  <c r="BC8" i="8" s="1"/>
  <c r="BA3" i="8"/>
  <c r="BA4" i="8"/>
  <c r="BA5" i="8"/>
  <c r="BB7" i="8"/>
  <c r="BA6" i="8"/>
  <c r="BA7" i="8"/>
  <c r="BB4" i="8"/>
  <c r="BB5" i="8"/>
  <c r="BB6" i="8"/>
  <c r="BB3" i="8"/>
  <c r="B6" i="1"/>
  <c r="B6" i="7"/>
  <c r="B5" i="1"/>
  <c r="B5" i="7"/>
  <c r="AM2" i="8" a="1"/>
  <c r="B2" i="7"/>
  <c r="B2" i="1"/>
  <c r="BC23" i="8" l="1"/>
  <c r="J24" i="9" s="1"/>
  <c r="H24" i="9"/>
  <c r="BD23" i="8"/>
  <c r="K24" i="9" s="1"/>
  <c r="I24" i="9"/>
  <c r="AX23" i="8"/>
  <c r="E24" i="9" s="1"/>
  <c r="AY23" i="8"/>
  <c r="F24" i="9" s="1"/>
  <c r="AZ23" i="8"/>
  <c r="G24" i="9" s="1"/>
  <c r="AW23" i="8"/>
  <c r="D24" i="9" s="1"/>
  <c r="AY22" i="8"/>
  <c r="F23" i="9" s="1"/>
  <c r="AX22" i="8"/>
  <c r="E23" i="9" s="1"/>
  <c r="AZ22" i="8"/>
  <c r="G23" i="9" s="1"/>
  <c r="AW22" i="8"/>
  <c r="D23" i="9" s="1"/>
  <c r="BD22" i="8"/>
  <c r="K23" i="9" s="1"/>
  <c r="BC22" i="8"/>
  <c r="J23" i="9" s="1"/>
  <c r="AW12" i="8"/>
  <c r="D13" i="9" s="1"/>
  <c r="AY12" i="8"/>
  <c r="F13" i="9" s="1"/>
  <c r="AY19" i="8"/>
  <c r="F20" i="9" s="1"/>
  <c r="AY21" i="8"/>
  <c r="F22" i="9" s="1"/>
  <c r="AZ21" i="8"/>
  <c r="G22" i="9" s="1"/>
  <c r="AZ15" i="8"/>
  <c r="G16" i="9" s="1"/>
  <c r="AY16" i="8"/>
  <c r="F17" i="9" s="1"/>
  <c r="AY17" i="8"/>
  <c r="F18" i="9" s="1"/>
  <c r="AY11" i="8"/>
  <c r="F12" i="9" s="1"/>
  <c r="AW13" i="8"/>
  <c r="D14" i="9" s="1"/>
  <c r="AZ12" i="8"/>
  <c r="G13" i="9" s="1"/>
  <c r="AZ19" i="8"/>
  <c r="G20" i="9" s="1"/>
  <c r="AW17" i="8"/>
  <c r="D18" i="9" s="1"/>
  <c r="AW19" i="8"/>
  <c r="D20" i="9" s="1"/>
  <c r="AZ16" i="8"/>
  <c r="G17" i="9" s="1"/>
  <c r="AZ17" i="8"/>
  <c r="G18" i="9" s="1"/>
  <c r="AZ11" i="8"/>
  <c r="G12" i="9" s="1"/>
  <c r="AW14" i="8"/>
  <c r="D15" i="9" s="1"/>
  <c r="AY13" i="8"/>
  <c r="F14" i="9" s="1"/>
  <c r="AY20" i="8"/>
  <c r="F21" i="9" s="1"/>
  <c r="AY14" i="8"/>
  <c r="F15" i="9" s="1"/>
  <c r="AZ14" i="8"/>
  <c r="G15" i="9" s="1"/>
  <c r="AY15" i="8"/>
  <c r="F16" i="9" s="1"/>
  <c r="AW20" i="8"/>
  <c r="D21" i="9" s="1"/>
  <c r="AY10" i="8"/>
  <c r="F11" i="9" s="1"/>
  <c r="AW15" i="8"/>
  <c r="D16" i="9" s="1"/>
  <c r="AZ13" i="8"/>
  <c r="G14" i="9" s="1"/>
  <c r="AZ20" i="8"/>
  <c r="G21" i="9" s="1"/>
  <c r="AW16" i="8"/>
  <c r="D17" i="9" s="1"/>
  <c r="AW18" i="8"/>
  <c r="D19" i="9" s="1"/>
  <c r="AW21" i="8"/>
  <c r="D22" i="9" s="1"/>
  <c r="AZ10" i="8"/>
  <c r="G11" i="9" s="1"/>
  <c r="AY18" i="8"/>
  <c r="F19" i="9" s="1"/>
  <c r="AZ18" i="8"/>
  <c r="G19" i="9" s="1"/>
  <c r="BD19" i="8"/>
  <c r="K20" i="9" s="1"/>
  <c r="I20" i="9"/>
  <c r="BD7" i="8"/>
  <c r="K8" i="9" s="1"/>
  <c r="I8" i="9"/>
  <c r="J9" i="9"/>
  <c r="H9" i="9"/>
  <c r="BC16" i="8"/>
  <c r="J17" i="9" s="1"/>
  <c r="H17" i="9"/>
  <c r="BD20" i="8"/>
  <c r="K21" i="9" s="1"/>
  <c r="I21" i="9"/>
  <c r="BD11" i="8"/>
  <c r="K12" i="9" s="1"/>
  <c r="I12" i="9"/>
  <c r="BD14" i="8"/>
  <c r="K15" i="9" s="1"/>
  <c r="I15" i="9"/>
  <c r="BC21" i="8"/>
  <c r="J22" i="9" s="1"/>
  <c r="BD15" i="8"/>
  <c r="K16" i="9" s="1"/>
  <c r="I16" i="9"/>
  <c r="BC14" i="8"/>
  <c r="J15" i="9" s="1"/>
  <c r="H15" i="9"/>
  <c r="BC6" i="8"/>
  <c r="J7" i="9" s="1"/>
  <c r="H7" i="9"/>
  <c r="BC5" i="8"/>
  <c r="J6" i="9" s="1"/>
  <c r="H6" i="9"/>
  <c r="BC9" i="8"/>
  <c r="J10" i="9" s="1"/>
  <c r="H10" i="9"/>
  <c r="BD13" i="8"/>
  <c r="K14" i="9" s="1"/>
  <c r="I14" i="9"/>
  <c r="BD8" i="8"/>
  <c r="K9" i="9" s="1"/>
  <c r="I9" i="9"/>
  <c r="BD5" i="8"/>
  <c r="K6" i="9" s="1"/>
  <c r="I6" i="9"/>
  <c r="BC7" i="8"/>
  <c r="J8" i="9" s="1"/>
  <c r="H8" i="9"/>
  <c r="BD3" i="8"/>
  <c r="K4" i="9" s="1"/>
  <c r="I4" i="9"/>
  <c r="BC20" i="8"/>
  <c r="J21" i="9" s="1"/>
  <c r="H21" i="9"/>
  <c r="BC15" i="8"/>
  <c r="J16" i="9" s="1"/>
  <c r="H16" i="9"/>
  <c r="BD21" i="8"/>
  <c r="K22" i="9" s="1"/>
  <c r="BC19" i="8"/>
  <c r="J20" i="9" s="1"/>
  <c r="H20" i="9"/>
  <c r="BD6" i="8"/>
  <c r="K7" i="9" s="1"/>
  <c r="I7" i="9"/>
  <c r="BD4" i="8"/>
  <c r="K5" i="9" s="1"/>
  <c r="I5" i="9"/>
  <c r="BD12" i="8"/>
  <c r="K13" i="9" s="1"/>
  <c r="I13" i="9"/>
  <c r="BC18" i="8"/>
  <c r="J19" i="9" s="1"/>
  <c r="H19" i="9"/>
  <c r="BD17" i="8"/>
  <c r="K18" i="9" s="1"/>
  <c r="I18" i="9"/>
  <c r="BC4" i="8"/>
  <c r="J5" i="9" s="1"/>
  <c r="H5" i="9"/>
  <c r="BC17" i="8"/>
  <c r="J18" i="9" s="1"/>
  <c r="H18" i="9"/>
  <c r="BD16" i="8"/>
  <c r="K17" i="9" s="1"/>
  <c r="I17" i="9"/>
  <c r="BC13" i="8"/>
  <c r="J14" i="9" s="1"/>
  <c r="H14" i="9"/>
  <c r="BC12" i="8"/>
  <c r="J13" i="9" s="1"/>
  <c r="H13" i="9"/>
  <c r="BD18" i="8"/>
  <c r="K19" i="9" s="1"/>
  <c r="I19" i="9"/>
  <c r="BC11" i="8"/>
  <c r="J12" i="9" s="1"/>
  <c r="H12" i="9"/>
  <c r="BD10" i="8"/>
  <c r="K11" i="9" s="1"/>
  <c r="I11" i="9"/>
  <c r="BC3" i="8"/>
  <c r="J4" i="9" s="1"/>
  <c r="H4" i="9"/>
  <c r="BC10" i="8"/>
  <c r="J11" i="9" s="1"/>
  <c r="H11" i="9"/>
  <c r="BD9" i="8"/>
  <c r="K10" i="9" s="1"/>
  <c r="I10" i="9"/>
  <c r="AX16" i="8"/>
  <c r="E17" i="9" s="1"/>
  <c r="AX9" i="8"/>
  <c r="E10" i="9" s="1"/>
  <c r="AX13" i="8"/>
  <c r="E14" i="9" s="1"/>
  <c r="AX17" i="8"/>
  <c r="E18" i="9" s="1"/>
  <c r="AX3" i="8"/>
  <c r="E4" i="9" s="1"/>
  <c r="AX14" i="8"/>
  <c r="E15" i="9" s="1"/>
  <c r="AX4" i="8"/>
  <c r="E5" i="9" s="1"/>
  <c r="AX18" i="8"/>
  <c r="E19" i="9" s="1"/>
  <c r="AX8" i="8"/>
  <c r="E9" i="9" s="1"/>
  <c r="AX12" i="8"/>
  <c r="E13" i="9" s="1"/>
  <c r="AX5" i="8"/>
  <c r="E6" i="9" s="1"/>
  <c r="AX19" i="8"/>
  <c r="E20" i="9" s="1"/>
  <c r="AX21" i="8"/>
  <c r="E22" i="9" s="1"/>
  <c r="AX10" i="8"/>
  <c r="E11" i="9" s="1"/>
  <c r="AX15" i="8"/>
  <c r="E16" i="9" s="1"/>
  <c r="AX6" i="8"/>
  <c r="E7" i="9" s="1"/>
  <c r="AX20" i="8"/>
  <c r="E21" i="9" s="1"/>
  <c r="AX7" i="8"/>
  <c r="E8" i="9" s="1"/>
  <c r="AX11" i="8"/>
  <c r="E12" i="9" s="1"/>
  <c r="AW11" i="8"/>
  <c r="D12" i="9" s="1"/>
  <c r="AZ7" i="8"/>
  <c r="G8" i="9" s="1"/>
  <c r="AZ8" i="8"/>
  <c r="G9" i="9" s="1"/>
  <c r="AY5" i="8"/>
  <c r="F6" i="9" s="1"/>
  <c r="AY6" i="8"/>
  <c r="F7" i="9" s="1"/>
  <c r="AY3" i="8"/>
  <c r="F4" i="9" s="1"/>
  <c r="AY8" i="8"/>
  <c r="F9" i="9" s="1"/>
  <c r="AY9" i="8"/>
  <c r="F10" i="9" s="1"/>
  <c r="AZ4" i="8"/>
  <c r="G5" i="9" s="1"/>
  <c r="AZ5" i="8"/>
  <c r="G6" i="9" s="1"/>
  <c r="AZ6" i="8"/>
  <c r="G7" i="9" s="1"/>
  <c r="AZ3" i="8"/>
  <c r="G4" i="9" s="1"/>
  <c r="AY4" i="8"/>
  <c r="F5" i="9" s="1"/>
  <c r="AZ9" i="8"/>
  <c r="G10" i="9" s="1"/>
  <c r="AY7" i="8"/>
  <c r="F8" i="9" s="1"/>
  <c r="AW3" i="8"/>
  <c r="D4" i="9" s="1"/>
  <c r="AW8" i="8"/>
  <c r="D9" i="9" s="1"/>
  <c r="AW9" i="8"/>
  <c r="D10" i="9" s="1"/>
  <c r="AW4" i="8"/>
  <c r="D5" i="9" s="1"/>
  <c r="AW5" i="8"/>
  <c r="D6" i="9" s="1"/>
  <c r="AW6" i="8"/>
  <c r="D7" i="9" s="1"/>
  <c r="AW7" i="8"/>
  <c r="D8" i="9" s="1"/>
  <c r="AW10" i="8"/>
  <c r="D11" i="9" s="1"/>
  <c r="D2" i="1" a="1"/>
  <c r="AF1" i="10" a="1"/>
  <c r="AH1" i="10" a="1"/>
  <c r="AH3" i="10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DD62FF-BF07-491A-B5FC-107FD3328EDF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2" xr16:uid="{F53F1187-82AB-4444-80C7-30DB6D62134F}" keepAlive="1" name="Query - Table2 (2)" description="Connection to the 'Table2 (2)' query in the workbook." type="5" refreshedVersion="8" background="1" saveData="1">
    <dbPr connection="Provider=Microsoft.Mashup.OleDb.1;Data Source=$Workbook$;Location=&quot;Table2 (2)&quot;;Extended Properties=&quot;&quot;" command="SELECT * FROM [Table2 (2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5">
    <bk>
      <extLst>
        <ext uri="{3e2802c4-a4d2-4d8b-9148-e3be6c30e623}">
          <xlrd:rvb i="2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</futureMetadata>
  <cellMetadata count="1">
    <bk>
      <rc t="1" v="0"/>
    </bk>
  </cellMetadata>
  <valueMetadata count="5">
    <bk>
      <rc t="2" v="0"/>
    </bk>
    <bk>
      <rc t="2" v="1"/>
    </bk>
    <bk>
      <rc t="2" v="2"/>
    </bk>
    <bk>
      <rc t="2" v="3"/>
    </bk>
    <bk>
      <rc t="2" v="4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df=xl(%P2%, headers=True)</code>
    </pythonScript>
    <pythonScript>
      <code xml:space="preserve">diff_df = (df - df.shift(-1)) / df.shift(-1) </code>
    </pythonScript>
    <pythonScript>
      <code>import numpy as np
import pandas as pd
# number of CHANGES to use (newest rows are on top)
n = int(xl(%P2%))
# 1) Clean: coerce Excel error strings to NaN, then numeric
ERRS = ['#NUM!', '#VALUE!', '#DIV/0!', '#N/A', '#REF!', '#NAME?', '#NULL!']
prices = (
    df.replace({e: np.nan for e in ERRS})
      .replace("", np.nan)
      .apply(pd.to_numeric, errors="coerce")
      .replace([np.inf, -np.inf], np.nan)
)
def summarize_series(col: pd.Series, n: int) -&gt; pd.Series:
    # Newer − Older (newest on top). IMPORTANT: compute FIRST, then drop NaNs
    chg = col - col.shift(-1)  # any NaN in either row -&gt; NaN change here
    chg = chg.dropna()         # now remove gaps
    chg = chg.iloc[:n]         # take the newest n changes (top n)
    if chg.size == 0:
        return pd.Series({"mean": np.nan, "stdev": np.nan, "p1": np.nan, "p5": np.nan, "p95": np.nan, "p99": np.nan})
    mu = chg.mean()
    sigma = chg.std(ddof=1)
    # parametric (Normal) percentiles
    z_1, z_5, z95, z99 = -2.326347874, -1.644853627, 1.644853627, 2.326347874
    return pd.Series({
        "mean":  mu,
        "stdev": sigma,
        "p1":    mu + z_1 * sigma,
        "p5":    mu + z_5 * sigma,
        "p95":   mu + z95 * sigma,
        "p99":   mu + z99 * sigma,
    })
result = prices.apply(lambda s: summarize_series(s, n), axis=0).T
result = result[["mean", "stdev", "p1", "p5", "p95", "p99"]]
result</code>
    </pythonScript>
    <pythonScript>
      <code>import numpy as np
import pandas as pd
# number of CHANGES to use (newest rows are on top)
n = int(xl(%P2%))
# Clean Excel error strings -&gt; NaN, then numeric
ERRS = ['#NUM!', '#VALUE!', '#DIV/0!', '#N/A', '#REF!', '#NAME?', '#NULL!']
prices = (
    df.replace({e: np.nan for e in ERRS})
      .replace("", np.nan)
      .apply(pd.to_numeric, errors="coerce")
)
def summarize_series(col: pd.Series, n: int) -&gt; pd.Series:
    # %% change = (newer / older) - 1 ; compute FIRST, then drop NaNs to avoid spanning gaps
    ret = (col / col.shift(-1)) - 1
    ret = ret.replace([np.inf, -np.inf], np.nan).dropna()
    ret = ret.iloc[:n]  # newest n changes (top n)
    if ret.size == 0:
        return pd.Series({"mean": np.nan, "stdev": np.nan, "p1": np.nan, "p5": np.nan, "p95": np.nan, "p99": np.nan})
    mu = ret.mean()
    sigma = ret.std(ddof=1)
    # Parametric (Normal) percentiles
    z_1, z_5, z95, z99 = -2.326347874, -1.644853627, 1.644853627, 2.326347874
    return pd.Series({
        "mean":  mu,
        "stdev": sigma,
        "p1":    mu + z_1 * sigma,
        "p5":    mu + z_5 * sigma,
        "p95":   mu + z95 * sigma,
        "p99":   mu + z99 * sigma,
    })
# Apply across columns; rows = securities
result = prices.apply(lambda s: summarize_series(s, n), axis=0).T
result = result[["mean", "stdev", "p1", "p5", "p95", "p99"]]
result</code>
    </pythonScript>
    <pythonScript>
      <code>import pandas as pd
import numpy as np
# 1) Window from Excel
n = int(xl(%P2%))
# 2) Make a safe copy and normalize types
d = df.copy()
d["Date"] = pd.to_datetime(d["Date"])
price_cols = [c for c in d.columns if c != "Date"]
# Coerce Excel error/strings to NaN
for c in price_cols:
    d[c] = pd.to_numeric(d[c], errors="coerce")
# 3) Ensure chronological order for proper rolling (oldest -&gt; newest)
d = d.sort_values("Date", ascending=True)
# 4) Daily %% returns (volatility is std of returns, not raw prices)
ret = d[price_cols].pct_change() *100
# 5) Rolling standard deviation over previous n sessions
vol = ret.rolling(window=n, min_periods=n).std()
# 6) Reattach dates and return in the original (most-recent-on-top) order
out = pd.concat([d[["Date"]], vol], axis=1).sort_values("Date", ascending=False).reset_index(drop=True)
# Return to Excel (spill)
out</code>
    </pythonScript>
    <pythonScript>
      <code>import pandas as pd
import numpy as np
import matplotlib.pyplot as plt
from matplotlib.ticker import PercentFormatter
import math
import matplotlib.dates as mdates
# --- data prep
d = out.copy()
d["Date"] = pd.to_datetime(d["Date"], errors="coerce")
d = d.dropna(subset=["Date"]).sort_values("Date")
vol_cols = [c for c in d.columns if c != "Date"]
d[vol_cols] = d[vol_cols].apply(pd.to_numeric, errors="coerce")
# --- global limits
ymax = float(np.nanmax(d[vol_cols].values))
if not np.isfinite(ymax):
    ymax = 1.0
xmin, xmax = d["Date"].min(), d["Date"].max()
# --- layout
cols_per_row = 3
n = len(vol_cols)
rows = math.ceil(n / cols_per_row)
fig, axes = plt.subplots(rows, cols_per_row,
                         figsize=(14, 3.5 * rows),
                         sharex=False, sharey=False)
axes = np.array(axes).reshape(-1, cols_per_row)
date_fmt = mdates.DateFormatter("%%m/%%y")
for i, c in enumerate(vol_cols):
    r, k = divmod(i, cols_per_row)
    ax = axes[r, k]
    y = d[c].to_numpy(dtype=float)
    # --- percentile thresholds
    p50 = np.nanpercentile(y, 50)
    p90 = np.nanpercentile(y, 90)
    # --- main line
    ax.plot(d["Date"], y, linewidth=1.4, color="black")
    # --- shaded region above 90th percentile
    ax.fill_between(d["Date"], p90, y,
                    where=(y &gt; p90),
                    color="red", alpha=0.15, interpolate=True)
    # --- horizontal reference lines
    ax.axhline(p90, color="red", linestyle="--", linewidth=0.8, alpha=0.6)
    ax.axhline(p50, color="dimgray", linestyle=":", linewidth=1.0, alpha=1.0)
    # --- titles &amp; layout
    ax.set_title(c, fontsize=9)
    ax.set_ylim(0, ymax)
    ax.set_xlim(xmin, xmax)
    ax.grid(True, linestyle=":", alpha=0.6)
    # --- y-axis (only on leftmost)
    ax.yaxis.set_major_formatter(PercentFormatter(xmax=100))
    if k != 0:
        ax.set_yticklabels([])
    # --- x-axis
    ax.xaxis.set_major_locator(mdates.AutoDateLocator())
    ax.xaxis.set_major_formatter(date_fmt)
    for lbl in ax.get_xticklabels():
        lbl.set_rotation(35)
        lbl.set_fontsize(7)
    for lbl in ax.get_yticklabels():
        lbl.set_fontsize(7)
# --- hide unused panels
for j in range(i + 1, rows * cols_per_row):
    r, k = divmod(j, cols_per_row)
    axes[r, k].axis("off")
# --- single title
fig.suptitle("Rolling Volatility (%%)", fontsize=12, y=0.995)
fig.tight_layout()
plt.show()</code>
    </pythonScript>
  </pythonScripts>
</python>
</file>

<file path=xl/sharedStrings.xml><?xml version="1.0" encoding="utf-8"?>
<sst xmlns="http://schemas.openxmlformats.org/spreadsheetml/2006/main" count="894" uniqueCount="761">
  <si>
    <t>0#C:</t>
  </si>
  <si>
    <t>/CH27</t>
  </si>
  <si>
    <t>/CK27</t>
  </si>
  <si>
    <t>/CN27</t>
  </si>
  <si>
    <t>/CU27</t>
  </si>
  <si>
    <t>/CZ27</t>
  </si>
  <si>
    <t>/CN28</t>
  </si>
  <si>
    <t>/CZ28</t>
  </si>
  <si>
    <t>0#S:</t>
  </si>
  <si>
    <t>/SF26</t>
  </si>
  <si>
    <t>/SF27</t>
  </si>
  <si>
    <t>/SH27</t>
  </si>
  <si>
    <t>/SK27</t>
  </si>
  <si>
    <t>/SN27</t>
  </si>
  <si>
    <t>/SQ27</t>
  </si>
  <si>
    <t>/SU27</t>
  </si>
  <si>
    <t>/SX27</t>
  </si>
  <si>
    <t>/SN28</t>
  </si>
  <si>
    <t>/SX28</t>
  </si>
  <si>
    <t>0#FCPO:</t>
  </si>
  <si>
    <t>/FCPOF26</t>
  </si>
  <si>
    <t>/FCPOX26</t>
  </si>
  <si>
    <t>/FCPOF27</t>
  </si>
  <si>
    <t>/FCPOH27</t>
  </si>
  <si>
    <t>/FCPOK27</t>
  </si>
  <si>
    <t>/FCPON27</t>
  </si>
  <si>
    <t>/FCPOU27</t>
  </si>
  <si>
    <t>/FCPOX27</t>
  </si>
  <si>
    <t>/FCPOF28</t>
  </si>
  <si>
    <t>/FCPOH28</t>
  </si>
  <si>
    <t>/FCPOK28</t>
  </si>
  <si>
    <t>/FCPON28</t>
  </si>
  <si>
    <t>/FCPOU28</t>
  </si>
  <si>
    <t>0#W:</t>
  </si>
  <si>
    <t>/WH27</t>
  </si>
  <si>
    <t>/WK27</t>
  </si>
  <si>
    <t>/WN27</t>
  </si>
  <si>
    <t>/WU27</t>
  </si>
  <si>
    <t>/WZ27</t>
  </si>
  <si>
    <t>/WH28</t>
  </si>
  <si>
    <t>/WK28</t>
  </si>
  <si>
    <t>/WN28</t>
  </si>
  <si>
    <t>0#KW:</t>
  </si>
  <si>
    <t>/KWH27</t>
  </si>
  <si>
    <t>/KWK27</t>
  </si>
  <si>
    <t>/KWN27</t>
  </si>
  <si>
    <t>/KWU27</t>
  </si>
  <si>
    <t>/KWZ27</t>
  </si>
  <si>
    <t>/KWH28</t>
  </si>
  <si>
    <t>/KWK28</t>
  </si>
  <si>
    <t>/KWN28</t>
  </si>
  <si>
    <t>0#MWE:</t>
  </si>
  <si>
    <t>/MWEH27</t>
  </si>
  <si>
    <t>/MWEK27</t>
  </si>
  <si>
    <t>/MWEN27</t>
  </si>
  <si>
    <t>/MWEU27</t>
  </si>
  <si>
    <t>/MWEZ27</t>
  </si>
  <si>
    <t>/MWEH28</t>
  </si>
  <si>
    <t>/MWEK28</t>
  </si>
  <si>
    <t>/MWEN28</t>
  </si>
  <si>
    <t>/MWEU28</t>
  </si>
  <si>
    <t>0#SM:</t>
  </si>
  <si>
    <t>/SMF27</t>
  </si>
  <si>
    <t>/SMH27</t>
  </si>
  <si>
    <t>/SMK27</t>
  </si>
  <si>
    <t>/SMN27</t>
  </si>
  <si>
    <t>/SMQ27</t>
  </si>
  <si>
    <t>/SMU27</t>
  </si>
  <si>
    <t>/SMV27</t>
  </si>
  <si>
    <t>/SMZ27</t>
  </si>
  <si>
    <t>/SMN28</t>
  </si>
  <si>
    <t>/SMV28</t>
  </si>
  <si>
    <t>/SMZ28</t>
  </si>
  <si>
    <t>0#BO:</t>
  </si>
  <si>
    <t>/BOF27</t>
  </si>
  <si>
    <t>/BOH27</t>
  </si>
  <si>
    <t>/BOK27</t>
  </si>
  <si>
    <t>/BON27</t>
  </si>
  <si>
    <t>/BOQ27</t>
  </si>
  <si>
    <t>/BOU27</t>
  </si>
  <si>
    <t>/BOV27</t>
  </si>
  <si>
    <t>/BOZ27</t>
  </si>
  <si>
    <t>/BON28</t>
  </si>
  <si>
    <t>/BOV28</t>
  </si>
  <si>
    <t>/BOZ28</t>
  </si>
  <si>
    <t>0#DSM:</t>
  </si>
  <si>
    <t>/DSMF6</t>
  </si>
  <si>
    <t>0#DBY:</t>
  </si>
  <si>
    <t>/DBYF6</t>
  </si>
  <si>
    <t>0#CRSM:</t>
  </si>
  <si>
    <t>/CRSMF6</t>
  </si>
  <si>
    <t>0#COI:</t>
  </si>
  <si>
    <t>/COIF6</t>
  </si>
  <si>
    <t>0#COM:</t>
  </si>
  <si>
    <t>/COMG7</t>
  </si>
  <si>
    <t>/COMK7</t>
  </si>
  <si>
    <t>/COMQ7</t>
  </si>
  <si>
    <t>/COMX7</t>
  </si>
  <si>
    <t>/COMG8</t>
  </si>
  <si>
    <t>/COMK8</t>
  </si>
  <si>
    <t>0#RS:</t>
  </si>
  <si>
    <t>/RSF6</t>
  </si>
  <si>
    <t>/RSF7</t>
  </si>
  <si>
    <t>/RSH7</t>
  </si>
  <si>
    <t>/RSK7</t>
  </si>
  <si>
    <t>/RSN7</t>
  </si>
  <si>
    <t>/RSX7</t>
  </si>
  <si>
    <t>0#CUU:</t>
  </si>
  <si>
    <t>/CUUZ25</t>
  </si>
  <si>
    <t>/CUUX26</t>
  </si>
  <si>
    <t>/CUUZ26</t>
  </si>
  <si>
    <t>/CUUF27</t>
  </si>
  <si>
    <t>/CUUG27</t>
  </si>
  <si>
    <t>/CUUH27</t>
  </si>
  <si>
    <t>/CUUJ27</t>
  </si>
  <si>
    <t>/CUUK27</t>
  </si>
  <si>
    <t>/CUUM27</t>
  </si>
  <si>
    <t>/CUUN27</t>
  </si>
  <si>
    <t>/CUUQ27</t>
  </si>
  <si>
    <t>/CUUU27</t>
  </si>
  <si>
    <t>/CUUV27</t>
  </si>
  <si>
    <t>/CUUX27</t>
  </si>
  <si>
    <t>/CUUZ27</t>
  </si>
  <si>
    <t>/CUUF28</t>
  </si>
  <si>
    <t>/CUUG28</t>
  </si>
  <si>
    <t>/CUUH28</t>
  </si>
  <si>
    <t>/CUUJ28</t>
  </si>
  <si>
    <t>/CUUK28</t>
  </si>
  <si>
    <t>/CUUM28</t>
  </si>
  <si>
    <t>/CUUN28</t>
  </si>
  <si>
    <t>/CUUQ28</t>
  </si>
  <si>
    <t>/CUUU28</t>
  </si>
  <si>
    <t>/CUUV28</t>
  </si>
  <si>
    <t>0#HO:</t>
  </si>
  <si>
    <t>/HOZ26</t>
  </si>
  <si>
    <t>/HOF27</t>
  </si>
  <si>
    <t>/HOG27</t>
  </si>
  <si>
    <t>/HOH27</t>
  </si>
  <si>
    <t>/HOJ27</t>
  </si>
  <si>
    <t>/HOK27</t>
  </si>
  <si>
    <t>/HOM27</t>
  </si>
  <si>
    <t>/HON27</t>
  </si>
  <si>
    <t>/HOQ27</t>
  </si>
  <si>
    <t>/HOU27</t>
  </si>
  <si>
    <t>/HOV27</t>
  </si>
  <si>
    <t>/HOX27</t>
  </si>
  <si>
    <t>/HOZ27</t>
  </si>
  <si>
    <t>/HOF28</t>
  </si>
  <si>
    <t>/HOG28</t>
  </si>
  <si>
    <t>/HOH28</t>
  </si>
  <si>
    <t>/HOJ28</t>
  </si>
  <si>
    <t>/HOK28</t>
  </si>
  <si>
    <t>/HOM28</t>
  </si>
  <si>
    <t>/HON28</t>
  </si>
  <si>
    <t>/HOQ28</t>
  </si>
  <si>
    <t>/HOU28</t>
  </si>
  <si>
    <t>/HOV28</t>
  </si>
  <si>
    <t>/HOX28</t>
  </si>
  <si>
    <t>/HOZ28</t>
  </si>
  <si>
    <t>/HOF29</t>
  </si>
  <si>
    <t>0#LGO:</t>
  </si>
  <si>
    <t>/LGOZ5</t>
  </si>
  <si>
    <t>/LGOX6</t>
  </si>
  <si>
    <t>/LGOZ6</t>
  </si>
  <si>
    <t>/LGOF7</t>
  </si>
  <si>
    <t>/LGOG7</t>
  </si>
  <si>
    <t>/LGOH7</t>
  </si>
  <si>
    <t>/LGOJ7</t>
  </si>
  <si>
    <t>/LGOK7</t>
  </si>
  <si>
    <t>/LGOM7</t>
  </si>
  <si>
    <t>/LGON7</t>
  </si>
  <si>
    <t>/LGOQ7</t>
  </si>
  <si>
    <t>/LGOU7</t>
  </si>
  <si>
    <t>/LGOV7</t>
  </si>
  <si>
    <t>/LGOX7</t>
  </si>
  <si>
    <t>/LGOZ7</t>
  </si>
  <si>
    <t>/LGOF8</t>
  </si>
  <si>
    <t>/LGOG8</t>
  </si>
  <si>
    <t>/LGOH8</t>
  </si>
  <si>
    <t>/LGOJ8</t>
  </si>
  <si>
    <t>/LGOK8</t>
  </si>
  <si>
    <t>/LGOM8</t>
  </si>
  <si>
    <t>/LGON8</t>
  </si>
  <si>
    <t>/LGOQ8</t>
  </si>
  <si>
    <t>/LGOU8</t>
  </si>
  <si>
    <t>/LGOV8</t>
  </si>
  <si>
    <t>/LGOX8</t>
  </si>
  <si>
    <t>/LGOZ8</t>
  </si>
  <si>
    <t>/LGOF9</t>
  </si>
  <si>
    <t>/LGOG9</t>
  </si>
  <si>
    <t>/LGOH9</t>
  </si>
  <si>
    <t>/LGOJ9</t>
  </si>
  <si>
    <t>/LGOK9</t>
  </si>
  <si>
    <t>/LGOM9</t>
  </si>
  <si>
    <t>/LGON9</t>
  </si>
  <si>
    <t>/LGOQ9</t>
  </si>
  <si>
    <t>/LGOU9</t>
  </si>
  <si>
    <t>/LGOV9</t>
  </si>
  <si>
    <t>/LGOX9</t>
  </si>
  <si>
    <t>/LGOZ9</t>
  </si>
  <si>
    <t>/LGOF0</t>
  </si>
  <si>
    <t>/LGOG0</t>
  </si>
  <si>
    <t>/LGOH0</t>
  </si>
  <si>
    <t>/LGOJ0</t>
  </si>
  <si>
    <t>/LGOK0</t>
  </si>
  <si>
    <t>/LGOM0</t>
  </si>
  <si>
    <t>/LGON0</t>
  </si>
  <si>
    <t>/LGOQ0</t>
  </si>
  <si>
    <t>/LGOU0</t>
  </si>
  <si>
    <t>/LGOV0</t>
  </si>
  <si>
    <t>/LGOX0</t>
  </si>
  <si>
    <t>/LGOZ0</t>
  </si>
  <si>
    <t>/LGOF31</t>
  </si>
  <si>
    <t>/LGOG31</t>
  </si>
  <si>
    <t>/LGOH31</t>
  </si>
  <si>
    <t>/LGOJ31</t>
  </si>
  <si>
    <t>/LGOK31</t>
  </si>
  <si>
    <t>/LGOM31</t>
  </si>
  <si>
    <t>/LGON31</t>
  </si>
  <si>
    <t>/LGOQ31</t>
  </si>
  <si>
    <t>/LGOU31</t>
  </si>
  <si>
    <t>/LGOV31</t>
  </si>
  <si>
    <t>/LGOX31</t>
  </si>
  <si>
    <t>/LGOZ31</t>
  </si>
  <si>
    <t>0#CL:</t>
  </si>
  <si>
    <t>/CLF26</t>
  </si>
  <si>
    <t>/CLF27</t>
  </si>
  <si>
    <t>/CLG27</t>
  </si>
  <si>
    <t>/CLH27</t>
  </si>
  <si>
    <t>/CLJ27</t>
  </si>
  <si>
    <t>/CLK27</t>
  </si>
  <si>
    <t>/CLM27</t>
  </si>
  <si>
    <t>/CLN27</t>
  </si>
  <si>
    <t>/CLQ27</t>
  </si>
  <si>
    <t>/CLU27</t>
  </si>
  <si>
    <t>/CLV27</t>
  </si>
  <si>
    <t>/CLX27</t>
  </si>
  <si>
    <t>/CLZ27</t>
  </si>
  <si>
    <t>/CLF28</t>
  </si>
  <si>
    <t>/CLG28</t>
  </si>
  <si>
    <t>/CLH28</t>
  </si>
  <si>
    <t>/CLJ28</t>
  </si>
  <si>
    <t>/CLK28</t>
  </si>
  <si>
    <t>/CLM28</t>
  </si>
  <si>
    <t>/CLN28</t>
  </si>
  <si>
    <t>/CLQ28</t>
  </si>
  <si>
    <t>/CLU28</t>
  </si>
  <si>
    <t>/CLV28</t>
  </si>
  <si>
    <t>/CLX28</t>
  </si>
  <si>
    <t>/CLZ28</t>
  </si>
  <si>
    <t>/CLF29</t>
  </si>
  <si>
    <t>/CLG29</t>
  </si>
  <si>
    <t>/CLH29</t>
  </si>
  <si>
    <t>/CLJ29</t>
  </si>
  <si>
    <t>/CLK29</t>
  </si>
  <si>
    <t>/CLM29</t>
  </si>
  <si>
    <t>/CLN29</t>
  </si>
  <si>
    <t>/CLQ29</t>
  </si>
  <si>
    <t>/CLU29</t>
  </si>
  <si>
    <t>/CLV29</t>
  </si>
  <si>
    <t>/CLX29</t>
  </si>
  <si>
    <t>/CLZ29</t>
  </si>
  <si>
    <t>/CLF30</t>
  </si>
  <si>
    <t>/CLG30</t>
  </si>
  <si>
    <t>/CLH30</t>
  </si>
  <si>
    <t>/CLJ30</t>
  </si>
  <si>
    <t>/CLK30</t>
  </si>
  <si>
    <t>/CLM30</t>
  </si>
  <si>
    <t>/CLN30</t>
  </si>
  <si>
    <t>/CLQ30</t>
  </si>
  <si>
    <t>/CLU30</t>
  </si>
  <si>
    <t>/CLV30</t>
  </si>
  <si>
    <t>/CLX30</t>
  </si>
  <si>
    <t>/CLZ30</t>
  </si>
  <si>
    <t>/CLF31</t>
  </si>
  <si>
    <t>/CLG31</t>
  </si>
  <si>
    <t>/CLH31</t>
  </si>
  <si>
    <t>/CLJ31</t>
  </si>
  <si>
    <t>/CLK31</t>
  </si>
  <si>
    <t>/CLM31</t>
  </si>
  <si>
    <t>/CLN31</t>
  </si>
  <si>
    <t>/CLQ31</t>
  </si>
  <si>
    <t>/CLU31</t>
  </si>
  <si>
    <t>/CLV31</t>
  </si>
  <si>
    <t>/CLX31</t>
  </si>
  <si>
    <t>/CLZ31</t>
  </si>
  <si>
    <t>/CLF32</t>
  </si>
  <si>
    <t>/CLG32</t>
  </si>
  <si>
    <t>/CLH32</t>
  </si>
  <si>
    <t>/CLJ32</t>
  </si>
  <si>
    <t>/CLK32</t>
  </si>
  <si>
    <t>/CLM32</t>
  </si>
  <si>
    <t>/CLN32</t>
  </si>
  <si>
    <t>/CLQ32</t>
  </si>
  <si>
    <t>/CLU32</t>
  </si>
  <si>
    <t>/CLV32</t>
  </si>
  <si>
    <t>/CLX32</t>
  </si>
  <si>
    <t>/CLZ32</t>
  </si>
  <si>
    <t>/CLF33</t>
  </si>
  <si>
    <t>/CLG33</t>
  </si>
  <si>
    <t>/CLH33</t>
  </si>
  <si>
    <t>/CLJ33</t>
  </si>
  <si>
    <t>/CLK33</t>
  </si>
  <si>
    <t>/CLM33</t>
  </si>
  <si>
    <t>/CLN33</t>
  </si>
  <si>
    <t>/CLQ33</t>
  </si>
  <si>
    <t>/CLU33</t>
  </si>
  <si>
    <t>/CLV33</t>
  </si>
  <si>
    <t>/CLX33</t>
  </si>
  <si>
    <t>/CLZ33</t>
  </si>
  <si>
    <t>/CLF34</t>
  </si>
  <si>
    <t>/CLG34</t>
  </si>
  <si>
    <t>/CLH34</t>
  </si>
  <si>
    <t>/CLJ34</t>
  </si>
  <si>
    <t>/CLK34</t>
  </si>
  <si>
    <t>/CLM34</t>
  </si>
  <si>
    <t>/CLN34</t>
  </si>
  <si>
    <t>/CLQ34</t>
  </si>
  <si>
    <t>/CLU34</t>
  </si>
  <si>
    <t>/CLV34</t>
  </si>
  <si>
    <t>/CLX34</t>
  </si>
  <si>
    <t>/CLZ34</t>
  </si>
  <si>
    <t>/CLF35</t>
  </si>
  <si>
    <t>/CLG35</t>
  </si>
  <si>
    <t>/CLH35</t>
  </si>
  <si>
    <t>/CLJ35</t>
  </si>
  <si>
    <t>/CLK35</t>
  </si>
  <si>
    <t>/CLM35</t>
  </si>
  <si>
    <t>/CLN35</t>
  </si>
  <si>
    <t>/CLQ35</t>
  </si>
  <si>
    <t>/CLU35</t>
  </si>
  <si>
    <t>/CLV35</t>
  </si>
  <si>
    <t>/CLX35</t>
  </si>
  <si>
    <t>/CLZ35</t>
  </si>
  <si>
    <t>/CLF36</t>
  </si>
  <si>
    <t>/CLG36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</si>
  <si>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</si>
  <si>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</si>
  <si>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</si>
  <si>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</si>
  <si>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</si>
  <si>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</si>
  <si>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</si>
  <si>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</si>
  <si>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</si>
  <si>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</si>
  <si>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</si>
  <si>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</si>
  <si>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</si>
  <si>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</si>
  <si>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</si>
  <si>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</si>
  <si>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</si>
  <si>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</si>
  <si>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</si>
  <si>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/WZ25</t>
  </si>
  <si>
    <t>/KWZ25</t>
  </si>
  <si>
    <t>/MWEZ25</t>
  </si>
  <si>
    <t>/CZ25</t>
  </si>
  <si>
    <t>/SMZ25</t>
  </si>
  <si>
    <t>/BOZ25</t>
  </si>
  <si>
    <t>/COMG6</t>
  </si>
  <si>
    <t>/HOZ25</t>
  </si>
  <si>
    <t>Create dataframe</t>
  </si>
  <si>
    <t>$/MT</t>
  </si>
  <si>
    <t>Conversion</t>
  </si>
  <si>
    <t>myr</t>
  </si>
  <si>
    <t>cny</t>
  </si>
  <si>
    <t>0#DCP:</t>
  </si>
  <si>
    <t>/DCPF6</t>
  </si>
  <si>
    <t>Base Unit</t>
  </si>
  <si>
    <t>%</t>
  </si>
  <si>
    <t>Wheat</t>
  </si>
  <si>
    <t>Kansas Wheat</t>
  </si>
  <si>
    <t>Corn</t>
  </si>
  <si>
    <t>Soy</t>
  </si>
  <si>
    <t>SBM</t>
  </si>
  <si>
    <t>SBO</t>
  </si>
  <si>
    <t>CPO</t>
  </si>
  <si>
    <t>DCE Meal</t>
  </si>
  <si>
    <t>DCE BO</t>
  </si>
  <si>
    <t>ZZ RSO</t>
  </si>
  <si>
    <t>ZZ RSM</t>
  </si>
  <si>
    <t>Ethanol</t>
  </si>
  <si>
    <t>Heating Oil</t>
  </si>
  <si>
    <t>ICE GO</t>
  </si>
  <si>
    <t>Light Crude</t>
  </si>
  <si>
    <t>$/bu</t>
  </si>
  <si>
    <t>$/st</t>
  </si>
  <si>
    <t>c/lb</t>
  </si>
  <si>
    <t>myr/MT</t>
  </si>
  <si>
    <t>cny/MT</t>
  </si>
  <si>
    <t>$/bl</t>
  </si>
  <si>
    <t>Mean</t>
  </si>
  <si>
    <t>σ</t>
  </si>
  <si>
    <t>Z_95</t>
  </si>
  <si>
    <t>Z_99</t>
  </si>
  <si>
    <t>Unit</t>
  </si>
  <si>
    <t>Commodity</t>
  </si>
  <si>
    <t>Matif RS</t>
  </si>
  <si>
    <t>ICE RS</t>
  </si>
  <si>
    <t>cad/MT</t>
  </si>
  <si>
    <t>eur/MT</t>
  </si>
  <si>
    <t>$/gal</t>
  </si>
  <si>
    <t>Minneapolis Wheat</t>
  </si>
  <si>
    <t>Column20</t>
  </si>
  <si>
    <t>DCE Palm</t>
  </si>
  <si>
    <t>c/bu</t>
  </si>
  <si>
    <t>Date</t>
  </si>
  <si>
    <t>/LGOF32</t>
  </si>
  <si>
    <t>/LGOG32</t>
  </si>
  <si>
    <t>/LGOH32</t>
  </si>
  <si>
    <t>/LGOJ32</t>
  </si>
  <si>
    <t>/LGOK32</t>
  </si>
  <si>
    <t>/LGOM32</t>
  </si>
  <si>
    <t>/LGON32</t>
  </si>
  <si>
    <t>/LGOQ32</t>
  </si>
  <si>
    <t>/LGOU32</t>
  </si>
  <si>
    <t>/LGOV32</t>
  </si>
  <si>
    <t>/LGOX32</t>
  </si>
  <si>
    <t>/LGOZ32</t>
  </si>
  <si>
    <t>/SF28</t>
  </si>
  <si>
    <t>/SH28</t>
  </si>
  <si>
    <t>/SK28</t>
  </si>
  <si>
    <t>/SQ28</t>
  </si>
  <si>
    <t>/SU28</t>
  </si>
  <si>
    <t>/SN29</t>
  </si>
  <si>
    <t>/SX29</t>
  </si>
  <si>
    <t>/FCPOX28</t>
  </si>
  <si>
    <t>/RSF8</t>
  </si>
  <si>
    <t>NULL</t>
  </si>
  <si>
    <t>/CLH36</t>
  </si>
  <si>
    <t>/CLJ36</t>
  </si>
  <si>
    <t>/CLK36</t>
  </si>
  <si>
    <t>/CLM36</t>
  </si>
  <si>
    <t>/CLN36</t>
  </si>
  <si>
    <t>/CLQ36</t>
  </si>
  <si>
    <t>/CLU36</t>
  </si>
  <si>
    <t>/CLV36</t>
  </si>
  <si>
    <t>/CLX36</t>
  </si>
  <si>
    <t>/CLZ36</t>
  </si>
  <si>
    <t>/CLF37</t>
  </si>
  <si>
    <t>/CLG37</t>
  </si>
  <si>
    <t>/CUUX28</t>
  </si>
  <si>
    <t>/HOG29</t>
  </si>
  <si>
    <t>/HOH29</t>
  </si>
  <si>
    <t>/HOJ29</t>
  </si>
  <si>
    <t>/HOK29</t>
  </si>
  <si>
    <t>/HOM29</t>
  </si>
  <si>
    <t>/HON29</t>
  </si>
  <si>
    <t>/HOQ29</t>
  </si>
  <si>
    <t>/HOU29</t>
  </si>
  <si>
    <t>/HOV29</t>
  </si>
  <si>
    <t>/HOX29</t>
  </si>
  <si>
    <t>/HOZ29</t>
  </si>
  <si>
    <t>/HOF30</t>
  </si>
  <si>
    <t>/BOF28</t>
  </si>
  <si>
    <t>/BOH28</t>
  </si>
  <si>
    <t>/BOK28</t>
  </si>
  <si>
    <t>/BOQ28</t>
  </si>
  <si>
    <t>/BOU28</t>
  </si>
  <si>
    <t>/SMF28</t>
  </si>
  <si>
    <t>/SMH28</t>
  </si>
  <si>
    <t>/SMK28</t>
  </si>
  <si>
    <t>/SMQ28</t>
  </si>
  <si>
    <t>/SMU28</t>
  </si>
  <si>
    <t>/CH28</t>
  </si>
  <si>
    <t>/CK28</t>
  </si>
  <si>
    <t>/CU28</t>
  </si>
  <si>
    <t>/CN29</t>
  </si>
  <si>
    <t>/CZ29</t>
  </si>
  <si>
    <t>Timestamp</t>
  </si>
  <si>
    <t>Trade Close</t>
  </si>
  <si>
    <t>/DSMZ6</t>
  </si>
  <si>
    <t>/DBYZ6</t>
  </si>
  <si>
    <t>/DCPZ6</t>
  </si>
  <si>
    <t>/FCPOZ26</t>
  </si>
  <si>
    <t>/MWEZ28</t>
  </si>
  <si>
    <t>0#RB:</t>
  </si>
  <si>
    <t>/RBG26</t>
  </si>
  <si>
    <t>/RBZ26</t>
  </si>
  <si>
    <t>/RBF27</t>
  </si>
  <si>
    <t>/RBG27</t>
  </si>
  <si>
    <t>/RBH27</t>
  </si>
  <si>
    <t>/RBJ27</t>
  </si>
  <si>
    <t>/RBK27</t>
  </si>
  <si>
    <t>/RBM27</t>
  </si>
  <si>
    <t>/RBN27</t>
  </si>
  <si>
    <t>/RBQ27</t>
  </si>
  <si>
    <t>/RBU27</t>
  </si>
  <si>
    <t>/RBV27</t>
  </si>
  <si>
    <t>/RBX27</t>
  </si>
  <si>
    <t>/RBZ27</t>
  </si>
  <si>
    <t>/RBF28</t>
  </si>
  <si>
    <t>/RBG28</t>
  </si>
  <si>
    <t>/RBH28</t>
  </si>
  <si>
    <t>/RBJ28</t>
  </si>
  <si>
    <t>/RBK28</t>
  </si>
  <si>
    <t>/RBM28</t>
  </si>
  <si>
    <t>/RBN28</t>
  </si>
  <si>
    <t>/RBQ28</t>
  </si>
  <si>
    <t>/RBU28</t>
  </si>
  <si>
    <t>/RBV28</t>
  </si>
  <si>
    <t>/RBX28</t>
  </si>
  <si>
    <t>/RBZ28</t>
  </si>
  <si>
    <t>/RBF29</t>
  </si>
  <si>
    <t>/RBG29</t>
  </si>
  <si>
    <t>/RBH29</t>
  </si>
  <si>
    <t>/RBJ29</t>
  </si>
  <si>
    <t>/RBK29</t>
  </si>
  <si>
    <t>/RBM29</t>
  </si>
  <si>
    <t>/RBN29</t>
  </si>
  <si>
    <t>/RBQ29</t>
  </si>
  <si>
    <t>/RBU29</t>
  </si>
  <si>
    <t>/RBV29</t>
  </si>
  <si>
    <t>/RBX29</t>
  </si>
  <si>
    <t>/RBZ29</t>
  </si>
  <si>
    <t>/RBF30</t>
  </si>
  <si>
    <t>Column21</t>
  </si>
  <si>
    <t>RBOB</t>
  </si>
  <si>
    <t>K Wheat</t>
  </si>
  <si>
    <t>M Wheat</t>
  </si>
  <si>
    <t>SB</t>
  </si>
  <si>
    <t>DCP</t>
  </si>
  <si>
    <t>DSM</t>
  </si>
  <si>
    <t>DBY</t>
  </si>
  <si>
    <t>ZZRSM</t>
  </si>
  <si>
    <t>ZZRSO</t>
  </si>
  <si>
    <t>RS EUR</t>
  </si>
  <si>
    <t>RS CAD</t>
  </si>
  <si>
    <t>LGO</t>
  </si>
  <si>
    <t>/CUUZ28</t>
  </si>
  <si>
    <t>/FCPOF29</t>
  </si>
  <si>
    <t>/RSH8</t>
  </si>
  <si>
    <t>/DBYF7</t>
  </si>
  <si>
    <t>/DSMF7</t>
  </si>
  <si>
    <t>/DCPF7</t>
  </si>
  <si>
    <t>/COIF7</t>
  </si>
  <si>
    <t>/CRSMF7</t>
  </si>
  <si>
    <t>/COMQ8</t>
  </si>
  <si>
    <t>/CUUF29</t>
  </si>
  <si>
    <t>0#LCO:</t>
  </si>
  <si>
    <t>/LCOJ6</t>
  </si>
  <si>
    <t>/LCOZ6</t>
  </si>
  <si>
    <t>/LCOF7</t>
  </si>
  <si>
    <t>/LCOG7</t>
  </si>
  <si>
    <t>/LCOH7</t>
  </si>
  <si>
    <t>/LCOJ7</t>
  </si>
  <si>
    <t>/LCOK7</t>
  </si>
  <si>
    <t>/LCOM7</t>
  </si>
  <si>
    <t>/LCON7</t>
  </si>
  <si>
    <t>/LCOQ7</t>
  </si>
  <si>
    <t>/LCOU7</t>
  </si>
  <si>
    <t>/LCOV7</t>
  </si>
  <si>
    <t>/LCOX7</t>
  </si>
  <si>
    <t>/LCOZ7</t>
  </si>
  <si>
    <t>/LCOF8</t>
  </si>
  <si>
    <t>/LCOG8</t>
  </si>
  <si>
    <t>/LCOH8</t>
  </si>
  <si>
    <t>/LCOJ8</t>
  </si>
  <si>
    <t>/LCOK8</t>
  </si>
  <si>
    <t>/LCOM8</t>
  </si>
  <si>
    <t>/LCON8</t>
  </si>
  <si>
    <t>/LCOQ8</t>
  </si>
  <si>
    <t>/LCOU8</t>
  </si>
  <si>
    <t>/LCOV8</t>
  </si>
  <si>
    <t>/LCOX8</t>
  </si>
  <si>
    <t>/LCOZ8</t>
  </si>
  <si>
    <t>/LCOF9</t>
  </si>
  <si>
    <t>/LCOG9</t>
  </si>
  <si>
    <t>/LCOH9</t>
  </si>
  <si>
    <t>/LCOJ9</t>
  </si>
  <si>
    <t>/LCOK9</t>
  </si>
  <si>
    <t>/LCOM9</t>
  </si>
  <si>
    <t>/LCON9</t>
  </si>
  <si>
    <t>/LCOQ9</t>
  </si>
  <si>
    <t>/LCOU9</t>
  </si>
  <si>
    <t>/LCOV9</t>
  </si>
  <si>
    <t>/LCOX9</t>
  </si>
  <si>
    <t>/LCOZ9</t>
  </si>
  <si>
    <t>/LCOF0</t>
  </si>
  <si>
    <t>/LCOG0</t>
  </si>
  <si>
    <t>/LCOH0</t>
  </si>
  <si>
    <t>/LCOJ0</t>
  </si>
  <si>
    <t>/LCOK0</t>
  </si>
  <si>
    <t>/LCOM0</t>
  </si>
  <si>
    <t>/LCON0</t>
  </si>
  <si>
    <t>/LCOQ0</t>
  </si>
  <si>
    <t>/LCOU0</t>
  </si>
  <si>
    <t>/LCOV0</t>
  </si>
  <si>
    <t>/LCOX0</t>
  </si>
  <si>
    <t>/LCOZ0</t>
  </si>
  <si>
    <t>/LCOF31</t>
  </si>
  <si>
    <t>/LCOG31</t>
  </si>
  <si>
    <t>/LCOH31</t>
  </si>
  <si>
    <t>/LCOJ31</t>
  </si>
  <si>
    <t>/LCOK31</t>
  </si>
  <si>
    <t>/LCOM31</t>
  </si>
  <si>
    <t>/LCON31</t>
  </si>
  <si>
    <t>/LCOQ31</t>
  </si>
  <si>
    <t>/LCOU31</t>
  </si>
  <si>
    <t>/LCOV31</t>
  </si>
  <si>
    <t>/LCOX31</t>
  </si>
  <si>
    <t>/LCOZ31</t>
  </si>
  <si>
    <t>/LCOF32</t>
  </si>
  <si>
    <t>/LCOG32</t>
  </si>
  <si>
    <t>/LCOH32</t>
  </si>
  <si>
    <t>/LCOJ32</t>
  </si>
  <si>
    <t>/LCOK32</t>
  </si>
  <si>
    <t>/LCOM32</t>
  </si>
  <si>
    <t>/LCON32</t>
  </si>
  <si>
    <t>/LCOQ32</t>
  </si>
  <si>
    <t>/LCOU32</t>
  </si>
  <si>
    <t>/LCOV32</t>
  </si>
  <si>
    <t>/LCOX32</t>
  </si>
  <si>
    <t>/LCOZ32</t>
  </si>
  <si>
    <t>/LCOF33</t>
  </si>
  <si>
    <t>/LCOG33</t>
  </si>
  <si>
    <t>/LCOH33</t>
  </si>
  <si>
    <t>Column22</t>
  </si>
  <si>
    <t>LightCrude</t>
  </si>
  <si>
    <t>BrentCrude</t>
  </si>
  <si>
    <t>Brent Crude</t>
  </si>
  <si>
    <t>/DCPG7</t>
  </si>
  <si>
    <t>/FCPOG27</t>
  </si>
  <si>
    <t>/CUUG29</t>
  </si>
  <si>
    <t>/MWEH29</t>
  </si>
  <si>
    <t>/DCPH7</t>
  </si>
  <si>
    <t>/FCPOH29</t>
  </si>
  <si>
    <t>/CRSMH7</t>
  </si>
  <si>
    <t>/DBYH7</t>
  </si>
  <si>
    <t>/COIH7</t>
  </si>
  <si>
    <t>/RSK8</t>
  </si>
  <si>
    <t>/DSMH7</t>
  </si>
  <si>
    <t>/CUUH29</t>
  </si>
  <si>
    <t>/FCPOJ27</t>
  </si>
  <si>
    <t>/DCPJ7</t>
  </si>
  <si>
    <t>/CUUJ29</t>
  </si>
  <si>
    <t>/COMX8</t>
  </si>
  <si>
    <t>`</t>
  </si>
  <si>
    <t>/LCOJ33</t>
  </si>
  <si>
    <t>/LCOK33</t>
  </si>
  <si>
    <t>/LCOM33</t>
  </si>
  <si>
    <t>/LCON33</t>
  </si>
  <si>
    <t>/LCOQ33</t>
  </si>
  <si>
    <t>/LCOU33</t>
  </si>
  <si>
    <t>/LCOV33</t>
  </si>
  <si>
    <t>/LCOX33</t>
  </si>
  <si>
    <t>/LCOZ33</t>
  </si>
  <si>
    <t>/LCOF34</t>
  </si>
  <si>
    <t>/LCOG34</t>
  </si>
  <si>
    <t>/LCOH34</t>
  </si>
  <si>
    <t>/LCOJ34</t>
  </si>
  <si>
    <t>/LCOK34</t>
  </si>
  <si>
    <t>/LCOM34</t>
  </si>
  <si>
    <t>/LCON34</t>
  </si>
  <si>
    <t>/LCOQ34</t>
  </si>
  <si>
    <t>/LCOU34</t>
  </si>
  <si>
    <t>/LCOV34</t>
  </si>
  <si>
    <t>/LCOX34</t>
  </si>
  <si>
    <t>/LCOZ34</t>
  </si>
  <si>
    <t>/LCOF35</t>
  </si>
  <si>
    <t>/LCOG35</t>
  </si>
  <si>
    <t>/LCOH35</t>
  </si>
  <si>
    <t>/LCOJ35</t>
  </si>
  <si>
    <t>/LCOK35</t>
  </si>
  <si>
    <t>/LCOM35</t>
  </si>
  <si>
    <t>/LCON35</t>
  </si>
  <si>
    <t>/LCOQ35</t>
  </si>
  <si>
    <t>/LCOU35</t>
  </si>
  <si>
    <t>/LCOV35</t>
  </si>
  <si>
    <t>/LCOX35</t>
  </si>
  <si>
    <t>/LCOZ35</t>
  </si>
  <si>
    <t>/LCOF36</t>
  </si>
  <si>
    <t>/LCOG36</t>
  </si>
  <si>
    <t>/LCOH36</t>
  </si>
  <si>
    <t>/LCOJ36</t>
  </si>
  <si>
    <t>/LCOK36</t>
  </si>
  <si>
    <t>/LCOM36</t>
  </si>
  <si>
    <t>/LCON36</t>
  </si>
  <si>
    <t>/LCOQ36</t>
  </si>
  <si>
    <t>/LCOU36</t>
  </si>
  <si>
    <t>/LCOV36</t>
  </si>
  <si>
    <t>/LCOX36</t>
  </si>
  <si>
    <t>/LCOZ36</t>
  </si>
  <si>
    <t>/LCOF37</t>
  </si>
  <si>
    <t>/LCOG37</t>
  </si>
  <si>
    <t>/LCOH37</t>
  </si>
  <si>
    <t>/LCOJ37</t>
  </si>
  <si>
    <t>/LCOK37</t>
  </si>
  <si>
    <t>/LCOM37</t>
  </si>
  <si>
    <t>/LCON37</t>
  </si>
  <si>
    <t>/LCOQ37</t>
  </si>
  <si>
    <t>/LCOU37</t>
  </si>
  <si>
    <t>/LCOV37</t>
  </si>
  <si>
    <t>/LCOX37</t>
  </si>
  <si>
    <t>/LCOZ37</t>
  </si>
  <si>
    <t>/LCOF38</t>
  </si>
  <si>
    <t>/LCOG38</t>
  </si>
  <si>
    <t>/LCOH38</t>
  </si>
  <si>
    <t>/LCOJ38</t>
  </si>
  <si>
    <t>/LCOK38</t>
  </si>
  <si>
    <t>/LCOM38</t>
  </si>
  <si>
    <t>/LCON38</t>
  </si>
  <si>
    <t>/LCOQ38</t>
  </si>
  <si>
    <t>/LCOU38</t>
  </si>
  <si>
    <t>/LCOV38</t>
  </si>
  <si>
    <t>/LCOX38</t>
  </si>
  <si>
    <t>/LCOZ38</t>
  </si>
  <si>
    <t>/LCOF39</t>
  </si>
  <si>
    <t>/LCOG39</t>
  </si>
  <si>
    <t>/LCOH39</t>
  </si>
  <si>
    <t>/RSN8</t>
  </si>
  <si>
    <t>/FCPOK29</t>
  </si>
  <si>
    <t>/MWEK29</t>
  </si>
  <si>
    <t>/DCPK7</t>
  </si>
  <si>
    <t>/CRSMK7</t>
  </si>
  <si>
    <t>/DBYK7</t>
  </si>
  <si>
    <t>/DSMK7</t>
  </si>
  <si>
    <t>/COIK7</t>
  </si>
  <si>
    <t>/CUUK29</t>
  </si>
  <si>
    <t>/DCPM7</t>
  </si>
  <si>
    <t>/FCPOM27</t>
  </si>
  <si>
    <t>/RSU7</t>
  </si>
  <si>
    <t>/CUUM29</t>
  </si>
  <si>
    <t>/RSU8</t>
  </si>
  <si>
    <t>/WU28</t>
  </si>
  <si>
    <t>/WZ28</t>
  </si>
  <si>
    <t>/WH29</t>
  </si>
  <si>
    <t>/WK29</t>
  </si>
  <si>
    <t>/WN29</t>
  </si>
  <si>
    <t>/FCPON29</t>
  </si>
  <si>
    <t>/CRSMN7</t>
  </si>
  <si>
    <t>/DBYN7</t>
  </si>
  <si>
    <t>/CUUN29</t>
  </si>
  <si>
    <t>/DCPN7</t>
  </si>
  <si>
    <t>/KWU28</t>
  </si>
  <si>
    <t>/KWZ28</t>
  </si>
  <si>
    <t>/KWH29</t>
  </si>
  <si>
    <t>/KWK29</t>
  </si>
  <si>
    <t>/KWN29</t>
  </si>
  <si>
    <t>/COMG9</t>
  </si>
  <si>
    <t>/COIN7</t>
  </si>
  <si>
    <t>/DSMN7</t>
  </si>
  <si>
    <t>/MWEN29</t>
  </si>
  <si>
    <t>/FCPOQ27</t>
  </si>
  <si>
    <t>/DCPQ7</t>
  </si>
  <si>
    <t>/DSMQ7</t>
  </si>
  <si>
    <t>/CRSMQ7</t>
  </si>
  <si>
    <t>/DBYQ7</t>
  </si>
  <si>
    <t>/CUUQ29</t>
  </si>
  <si>
    <t>/FCPOU29</t>
  </si>
  <si>
    <t>/CRSMU7</t>
  </si>
  <si>
    <t>/DCPU7</t>
  </si>
  <si>
    <t>/COIU7</t>
  </si>
  <si>
    <t>/DBYU7</t>
  </si>
  <si>
    <t>/DSMU7</t>
  </si>
  <si>
    <t>/CUUU29</t>
  </si>
  <si>
    <t>/MWEU29</t>
  </si>
  <si>
    <t>/FCPOV27</t>
  </si>
  <si>
    <t>/DCPV7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</si>
</sst>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_-* #,##0_-;\-* #,##0_-;_-* &quot;-&quot;??_-;_-@_-"/>
    <numFmt numFmtId="165" formatCode="0.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0" fillId="0" borderId="0" xfId="0" quotePrefix="1"/>
    <xf numFmtId="14" fontId="0" fillId="0" borderId="0" xfId="0" applyNumberFormat="1"/>
    <xf numFmtId="164" fontId="0" fillId="0" borderId="0" xfId="1" applyNumberFormat="1" applyFont="1"/>
    <xf numFmtId="164" fontId="0" fillId="0" borderId="0" xfId="1" quotePrefix="1" applyNumberFormat="1" applyFon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4" xfId="0" applyBorder="1"/>
    <xf numFmtId="0" fontId="0" fillId="0" borderId="5" xfId="0" applyBorder="1"/>
    <xf numFmtId="0" fontId="0" fillId="2" borderId="5" xfId="0" quotePrefix="1" applyFill="1" applyBorder="1"/>
    <xf numFmtId="0" fontId="0" fillId="2" borderId="6" xfId="0" quotePrefix="1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14" fontId="0" fillId="2" borderId="4" xfId="0" applyNumberFormat="1" applyFill="1" applyBorder="1"/>
    <xf numFmtId="14" fontId="0" fillId="2" borderId="1" xfId="0" applyNumberFormat="1" applyFill="1" applyBorder="1"/>
    <xf numFmtId="0" fontId="0" fillId="2" borderId="4" xfId="0" quotePrefix="1" applyFill="1" applyBorder="1"/>
    <xf numFmtId="0" fontId="0" fillId="2" borderId="7" xfId="0" applyFill="1" applyBorder="1"/>
    <xf numFmtId="0" fontId="0" fillId="2" borderId="0" xfId="0" applyFill="1"/>
    <xf numFmtId="0" fontId="0" fillId="2" borderId="8" xfId="0" applyFill="1" applyBorder="1"/>
    <xf numFmtId="10" fontId="0" fillId="0" borderId="0" xfId="2" applyNumberFormat="1" applyFont="1"/>
    <xf numFmtId="2" fontId="0" fillId="0" borderId="0" xfId="2" applyNumberFormat="1" applyFont="1"/>
    <xf numFmtId="2" fontId="0" fillId="0" borderId="0" xfId="0" applyNumberFormat="1"/>
    <xf numFmtId="165" fontId="0" fillId="0" borderId="0" xfId="0" applyNumberFormat="1"/>
    <xf numFmtId="2" fontId="0" fillId="0" borderId="0" xfId="0" applyNumberFormat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/>
    <xf numFmtId="10" fontId="0" fillId="0" borderId="11" xfId="2" applyNumberFormat="1" applyFont="1" applyBorder="1"/>
    <xf numFmtId="10" fontId="0" fillId="0" borderId="12" xfId="2" applyNumberFormat="1" applyFont="1" applyBorder="1"/>
    <xf numFmtId="10" fontId="0" fillId="0" borderId="13" xfId="2" applyNumberFormat="1" applyFont="1" applyBorder="1"/>
    <xf numFmtId="10" fontId="0" fillId="0" borderId="14" xfId="2" applyNumberFormat="1" applyFont="1" applyBorder="1"/>
    <xf numFmtId="2" fontId="0" fillId="0" borderId="9" xfId="2" applyNumberFormat="1" applyFont="1" applyBorder="1" applyAlignment="1">
      <alignment horizontal="center" vertical="center"/>
    </xf>
    <xf numFmtId="2" fontId="0" fillId="0" borderId="11" xfId="0" applyNumberFormat="1" applyBorder="1"/>
    <xf numFmtId="2" fontId="0" fillId="0" borderId="12" xfId="0" applyNumberFormat="1" applyBorder="1"/>
    <xf numFmtId="2" fontId="0" fillId="0" borderId="13" xfId="0" applyNumberFormat="1" applyBorder="1"/>
    <xf numFmtId="2" fontId="0" fillId="0" borderId="14" xfId="0" applyNumberFormat="1" applyBorder="1"/>
    <xf numFmtId="10" fontId="0" fillId="0" borderId="0" xfId="2" applyNumberFormat="1" applyFont="1" applyBorder="1"/>
    <xf numFmtId="10" fontId="0" fillId="0" borderId="15" xfId="2" applyNumberFormat="1" applyFont="1" applyBorder="1"/>
    <xf numFmtId="2" fontId="3" fillId="0" borderId="16" xfId="0" applyNumberFormat="1" applyFont="1" applyBorder="1"/>
    <xf numFmtId="2" fontId="3" fillId="0" borderId="17" xfId="0" applyNumberFormat="1" applyFont="1" applyBorder="1"/>
    <xf numFmtId="10" fontId="3" fillId="0" borderId="17" xfId="2" applyNumberFormat="1" applyFont="1" applyBorder="1" applyAlignment="1">
      <alignment horizontal="center" vertical="center"/>
    </xf>
    <xf numFmtId="2" fontId="3" fillId="0" borderId="16" xfId="0" applyNumberFormat="1" applyFont="1" applyBorder="1" applyAlignment="1">
      <alignment horizontal="center"/>
    </xf>
    <xf numFmtId="2" fontId="3" fillId="0" borderId="18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2" borderId="0" xfId="0" quotePrefix="1" applyFill="1"/>
    <xf numFmtId="2" fontId="0" fillId="0" borderId="9" xfId="0" applyNumberFormat="1" applyBorder="1"/>
    <xf numFmtId="2" fontId="0" fillId="0" borderId="19" xfId="0" applyNumberFormat="1" applyBorder="1"/>
    <xf numFmtId="10" fontId="0" fillId="0" borderId="9" xfId="2" applyNumberFormat="1" applyFont="1" applyBorder="1"/>
    <xf numFmtId="10" fontId="0" fillId="0" borderId="19" xfId="2" applyNumberFormat="1" applyFont="1" applyBorder="1"/>
    <xf numFmtId="10" fontId="0" fillId="0" borderId="10" xfId="2" applyNumberFormat="1" applyFont="1" applyBorder="1"/>
    <xf numFmtId="0" fontId="0" fillId="4" borderId="0" xfId="0" applyFill="1"/>
    <xf numFmtId="10" fontId="0" fillId="0" borderId="0" xfId="2" applyNumberFormat="1" applyFont="1" applyAlignment="1">
      <alignment horizontal="center"/>
    </xf>
  </cellXfs>
  <cellStyles count="3">
    <cellStyle name="Comma" xfId="1" builtinId="3"/>
    <cellStyle name="Normal" xfId="0" builtinId="0"/>
    <cellStyle name="Per cent" xfId="2" builtinId="5"/>
  </cellStyles>
  <dxfs count="4">
    <dxf>
      <numFmt numFmtId="19" formatCode="d/m/yyyy"/>
    </dxf>
    <dxf>
      <numFmt numFmtId="19" formatCode="d/m/yyyy"/>
    </dxf>
    <dxf>
      <border outline="0"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</dxfs>
  <tableStyles count="1" defaultTableStyle="TableStyleMedium2" defaultPivotStyle="PivotStyleLight16">
    <tableStyle name="Invisible" pivot="0" table="0" count="0" xr9:uid="{CFF9B888-A360-4836-B16F-955D392C2BF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history">
      <tp t="s">
        <v>Updated at 17:18:37</v>
        <stp/>
        <stp>96</stp>
        <stp>12930218</stp>
        <tr r="B2" s="1"/>
      </tp>
      <tp t="s">
        <v>Updated at 17:18:37</v>
        <stp/>
        <stp>95</stp>
        <stp>12930218</stp>
        <tr r="B2" s="7"/>
      </tp>
    </main>
    <main first="refinitivshim.rtdserver.tr">
      <tp t="s">
        <v>/MWEZ26</v>
        <stp/>
        <stp>19</stp>
        <stp>12930218</stp>
        <tr r="H3" s="4"/>
      </tp>
      <tp t="s">
        <v>/CRSMX6</v>
        <stp/>
        <stp>18</stp>
        <stp>12930218</stp>
        <tr r="AI3" s="4"/>
      </tp>
      <tp t="s">
        <v>/BOZ26</v>
        <stp/>
        <stp>15</stp>
        <stp>12930218</stp>
        <tr r="T3" s="4"/>
      </tp>
      <tp t="s">
        <v>/KWZ26</v>
        <stp/>
        <stp>14</stp>
        <stp>12930218</stp>
        <tr r="E3" s="4"/>
      </tp>
      <tp t="s">
        <v>/LGOTOT</v>
        <stp/>
        <stp>17</stp>
        <stp>12930218</stp>
        <tr r="BA3" s="4"/>
      </tp>
      <tp t="s">
        <v>/COMX6</v>
        <stp/>
        <stp>16</stp>
        <stp>12930218</stp>
        <tr r="AO3" s="4"/>
      </tp>
      <tp t="s">
        <v>/DSMX6</v>
        <stp/>
        <stp>11</stp>
        <stp>12930218</stp>
        <tr r="AC3" s="4"/>
      </tp>
      <tp t="s">
        <v>/CLZ26</v>
        <stp/>
        <stp>10</stp>
        <stp>12930218</stp>
        <tr r="BD3" s="4"/>
      </tp>
      <tp t="s">
        <v>/CZ26</v>
        <stp/>
        <stp>13</stp>
        <stp>12930218</stp>
        <tr r="K3" s="4"/>
      </tp>
      <tp t="s">
        <v>/SX26</v>
        <stp/>
        <stp>12</stp>
        <stp>12930218</stp>
        <tr r="N3" s="4"/>
      </tp>
    </main>
    <main first="refinitivshim.rtdserver.tr">
      <tp t="s">
        <v>/LCOTOT</v>
        <stp/>
        <stp>21</stp>
        <stp>12930218</stp>
        <tr r="BJ3" s="4"/>
      </tp>
      <tp t="s">
        <v>/FCPO-TOT</v>
        <stp/>
        <stp>20</stp>
        <stp>12930218</stp>
        <tr r="W3" s="4"/>
      </tp>
      <tp>
        <v>2623750</v>
        <stp/>
        <stp>79</stp>
        <stp>12930218</stp>
        <tr r="BK3" s="4"/>
      </tp>
      <tp>
        <v>44066</v>
        <stp/>
        <stp>78</stp>
        <stp>12930218</stp>
        <tr r="I3" s="4"/>
      </tp>
      <tp>
        <v>31505</v>
        <stp/>
        <stp>75</stp>
        <stp>12930218</stp>
        <tr r="BH3" s="4"/>
      </tp>
      <tp>
        <v>191184</v>
        <stp/>
        <stp>74</stp>
        <stp>12930218</stp>
        <tr r="O3" s="4"/>
      </tp>
      <tp>
        <v>16974</v>
        <stp/>
        <stp>77</stp>
        <stp>12930218</stp>
        <tr r="AJ3" s="4"/>
      </tp>
      <tp>
        <v>342738</v>
        <stp/>
        <stp>76</stp>
        <stp>12930218</stp>
        <tr r="X3" s="4"/>
      </tp>
      <tp>
        <v>14740</v>
        <stp/>
        <stp>71</stp>
        <stp>12930218</stp>
        <tr r="AM3" s="4"/>
      </tp>
      <tp>
        <v>248802</v>
        <stp/>
        <stp>70</stp>
        <stp>12930218</stp>
        <tr r="C3" s="4"/>
      </tp>
      <tp>
        <v>202072</v>
        <stp/>
        <stp>73</stp>
        <stp>12930218</stp>
        <tr r="U3" s="4"/>
      </tp>
      <tp>
        <v>26757</v>
        <stp/>
        <stp>72</stp>
        <stp>12930218</stp>
        <tr r="AY3" s="4"/>
      </tp>
      <tp>
        <v>4363</v>
        <stp/>
        <stp>69</stp>
        <stp>12930218</stp>
        <tr r="AP3" s="4"/>
      </tp>
      <tp>
        <v>782965</v>
        <stp/>
        <stp>68</stp>
        <stp>12930218</stp>
        <tr r="L3" s="4"/>
      </tp>
      <tp>
        <v>146164</v>
        <stp/>
        <stp>67</stp>
        <stp>12930218</stp>
        <tr r="F3" s="4"/>
      </tp>
      <tp>
        <v>56219</v>
        <stp/>
        <stp>66</stp>
        <stp>12930218</stp>
        <tr r="AS3" s="4"/>
      </tp>
    </main>
    <main first="refinitivshim.rtdserver.tr">
      <tp>
        <v>312676</v>
        <stp/>
        <stp>88</stp>
        <stp>12930218</stp>
        <tr r="BE3" s="4"/>
      </tp>
      <tp>
        <v>231259</v>
        <stp/>
        <stp>85</stp>
        <stp>12930218</stp>
        <tr r="R3" s="4"/>
      </tp>
      <tp>
        <v>718887</v>
        <stp/>
        <stp>84</stp>
        <stp>12930218</stp>
        <tr r="BB3" s="4"/>
      </tp>
      <tp>
        <v>27873</v>
        <stp/>
        <stp>87</stp>
        <stp>12930218</stp>
        <tr r="AA3" s="4"/>
      </tp>
      <tp>
        <v>72868</v>
        <stp/>
        <stp>81</stp>
        <stp>12930218</stp>
        <tr r="AG3" s="4"/>
      </tp>
      <tp>
        <v>197055</v>
        <stp/>
        <stp>80</stp>
        <stp>12930218</stp>
        <tr r="AD3" s="4"/>
      </tp>
      <tp>
        <v>8455</v>
        <stp/>
        <stp>82</stp>
        <stp>12930218</stp>
        <tr r="AV3" s="4"/>
      </tp>
      <tp t="s">
        <v>/RSX6</v>
        <stp/>
        <stp>9</stp>
        <stp>12930218</stp>
        <tr r="AR3" s="4"/>
      </tp>
      <tp t="s">
        <v>/HOX26</v>
        <stp/>
        <stp>8</stp>
        <stp>12930218</stp>
        <tr r="AX3" s="4"/>
      </tp>
      <tp t="s">
        <v>/DCPX6</v>
        <stp/>
        <stp>1</stp>
        <stp>12930218</stp>
        <tr r="Z3" s="4"/>
      </tp>
      <tp t="s">
        <v>/WZ26</v>
        <stp/>
        <stp>3</stp>
        <stp>12930218</stp>
        <tr r="B3" s="4"/>
      </tp>
      <tp t="s">
        <v>/SMZ26</v>
        <stp/>
        <stp>2</stp>
        <stp>12930218</stp>
        <tr r="Q3" s="4"/>
      </tp>
      <tp t="s">
        <v>/RBX26</v>
        <stp/>
        <stp>5</stp>
        <stp>12930218</stp>
        <tr r="BG3" s="4"/>
      </tp>
      <tp t="s">
        <v>/COIX6</v>
        <stp/>
        <stp>4</stp>
        <stp>12930218</stp>
        <tr r="AL3" s="4"/>
      </tp>
      <tp t="s">
        <v>/CUUV26</v>
        <stp/>
        <stp>7</stp>
        <stp>12930218</stp>
        <tr r="AU3" s="4"/>
      </tp>
      <tp t="s">
        <v>/DBYX6</v>
        <stp/>
        <stp>6</stp>
        <stp>12930218</stp>
        <tr r="AF3" s="4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microsoft.com/office/2017/06/relationships/rdRichValue" Target="richData/rdrichvalue.xml"/><Relationship Id="rId18" Type="http://schemas.microsoft.com/office/2017/06/relationships/rdSupportingPropertyBag" Target="richData/rdsupportingpropertybag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theme" Target="theme/theme1.xml"/><Relationship Id="rId12" Type="http://schemas.microsoft.com/office/2022/10/relationships/richValueRel" Target="richData/richValueRel.xml"/><Relationship Id="rId17" Type="http://schemas.microsoft.com/office/2017/06/relationships/rdSupportingPropertyBagStructure" Target="richData/rdsupportingpropertybagstructure.xml"/><Relationship Id="rId2" Type="http://schemas.openxmlformats.org/officeDocument/2006/relationships/worksheet" Target="worksheets/sheet2.xml"/><Relationship Id="rId16" Type="http://schemas.microsoft.com/office/2017/06/relationships/richStyles" Target="richData/rich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24" Type="http://schemas.microsoft.com/office/2023/09/relationships/Python" Target="python.xml"/><Relationship Id="rId5" Type="http://schemas.openxmlformats.org/officeDocument/2006/relationships/worksheet" Target="worksheets/sheet5.xml"/><Relationship Id="rId15" Type="http://schemas.microsoft.com/office/2017/06/relationships/rdArray" Target="richData/rdarray.xml"/><Relationship Id="rId23" Type="http://schemas.openxmlformats.org/officeDocument/2006/relationships/volatileDependencies" Target="volatileDependencies.xml"/><Relationship Id="rId10" Type="http://schemas.openxmlformats.org/officeDocument/2006/relationships/sharedStrings" Target="sharedStrings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14</xdr:col>
      <xdr:colOff>524771</xdr:colOff>
      <xdr:row>112</xdr:row>
      <xdr:rowOff>167640</xdr:rowOff>
    </xdr:to>
    <xdr:pic>
      <xdr:nvPicPr>
        <xdr:cNvPr id="2" name="Picture 1" descr="Image generated by Python">
          <a:extLst>
            <a:ext uri="{FF2B5EF4-FFF2-40B4-BE49-F238E27FC236}">
              <a16:creationId xmlns:a16="http://schemas.microsoft.com/office/drawing/2014/main" id="{3672991C-0487-4ACA-880F-6DCF389A1D51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Volatility!AH3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5118" y="4661647"/>
          <a:ext cx="9110382" cy="15586934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5E48BB3-F9A4-4AD0-AD1E-A5957833440B}" autoFormatId="16" applyNumberFormats="0" applyBorderFormats="0" applyFontFormats="0" applyPatternFormats="0" applyAlignmentFormats="0" applyWidthHeightFormats="0">
  <queryTableRefresh nextId="26">
    <queryTableFields count="21">
      <queryTableField id="1" name="/WZ25" tableColumnId="1"/>
      <queryTableField id="2" name="/KWZ25" tableColumnId="2"/>
      <queryTableField id="3" name="/MWEZ25" tableColumnId="3"/>
      <queryTableField id="4" name="/CZ25" tableColumnId="4"/>
      <queryTableField id="5" name="/SF26" tableColumnId="5"/>
      <queryTableField id="6" name="/SMZ25" tableColumnId="6"/>
      <queryTableField id="7" name="/BOZ25" tableColumnId="7"/>
      <queryTableField id="8" name="/FCPOF26" tableColumnId="8"/>
      <queryTableField id="20" name="/DCPF6" tableColumnId="20"/>
      <queryTableField id="9" name="/DSMF6" tableColumnId="9"/>
      <queryTableField id="10" name="/DBYF6" tableColumnId="10"/>
      <queryTableField id="11" name="/CRSMF6" tableColumnId="11"/>
      <queryTableField id="12" name="/COIF6" tableColumnId="12"/>
      <queryTableField id="13" name="/COMG6" tableColumnId="13"/>
      <queryTableField id="14" name="/RSF6" tableColumnId="14"/>
      <queryTableField id="15" name="/CUUZ25" tableColumnId="15"/>
      <queryTableField id="16" name="/HOZ25" tableColumnId="16"/>
      <queryTableField id="17" name="/LGOZ5" tableColumnId="17"/>
      <queryTableField id="18" name="/CLF26" tableColumnId="18"/>
      <queryTableField id="24" name="/LCOJ6" tableColumnId="21"/>
      <queryTableField id="22" name="/RBG26" tableColumnId="1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C7F16E6-F56C-4122-929A-5DBFE5B3A25D}" autoFormatId="16" applyNumberFormats="0" applyBorderFormats="0" applyFontFormats="0" applyPatternFormats="0" applyAlignmentFormats="0" applyWidthHeightFormats="0">
  <queryTableRefresh nextId="71">
    <queryTableFields count="22">
      <queryTableField id="1" name="Date" tableColumnId="1"/>
      <queryTableField id="24" name="Wheat" tableColumnId="23"/>
      <queryTableField id="25" name="K Wheat" tableColumnId="24"/>
      <queryTableField id="26" name="M Wheat" tableColumnId="25"/>
      <queryTableField id="27" name="Corn" tableColumnId="26"/>
      <queryTableField id="28" name="SB" tableColumnId="27"/>
      <queryTableField id="29" name="SBM" tableColumnId="28"/>
      <queryTableField id="30" name="SBO" tableColumnId="29"/>
      <queryTableField id="31" name="CPO" tableColumnId="30"/>
      <queryTableField id="32" name="DCP" tableColumnId="31"/>
      <queryTableField id="33" name="DSM" tableColumnId="32"/>
      <queryTableField id="34" name="DBY" tableColumnId="33"/>
      <queryTableField id="35" name="ZZRSM" tableColumnId="34"/>
      <queryTableField id="36" name="ZZRSO" tableColumnId="35"/>
      <queryTableField id="37" name="RS EUR" tableColumnId="36"/>
      <queryTableField id="38" name="RS CAD" tableColumnId="37"/>
      <queryTableField id="39" name="Ethanol" tableColumnId="38"/>
      <queryTableField id="40" name="Heating Oil" tableColumnId="39"/>
      <queryTableField id="41" name="LGO" tableColumnId="40"/>
      <queryTableField id="67" name="LightCrude" tableColumnId="3"/>
      <queryTableField id="68" name="BrentCrude" tableColumnId="4"/>
      <queryTableField id="64" name="RBOB" tableColumnId="43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4">
  <a r="12" c="12">
    <v t="s"/>
    <v t="s">/WZ25</v>
    <v t="s">/KWZ25</v>
    <v t="s">/MWEZ25</v>
    <v t="s">/CZ25</v>
    <v t="s">/SF26</v>
    <v t="s">...</v>
    <v t="s">/HOZ25</v>
    <v t="s">/LGOZ5</v>
    <v t="s">/CLF26</v>
    <v t="s">/LCOJ6</v>
    <v t="s">/RBG26</v>
    <v>0</v>
    <v>660.5</v>
    <v>704</v>
    <v>6.7649999999999997</v>
    <v>474.25</v>
    <v>1261.25</v>
    <v t="s">...</v>
    <v>4.7232000000000003</v>
    <v>1369.5</v>
    <v>99.02</v>
    <v>106.82</v>
    <v>3.1442999999999999</v>
    <v>1</v>
    <v>670</v>
    <v>713</v>
    <v>6.86</v>
    <v>478</v>
    <v>1263</v>
    <v t="s">...</v>
    <v>4.6544999999999996</v>
    <v>1386.75</v>
    <v>96.5</v>
    <v>103.17</v>
    <v>3.0798000000000001</v>
    <v>2</v>
    <v>673.25</v>
    <v>715</v>
    <v>6.9</v>
    <v>480.75</v>
    <v>1277.25</v>
    <v t="s">...</v>
    <v>4.7507999999999999</v>
    <v>1404</v>
    <v>93.9</v>
    <v>103.4</v>
    <v>3.1419999999999999</v>
    <v>3</v>
    <v>669.25</v>
    <v>712.25</v>
    <v>6.94</v>
    <v>482.75</v>
    <v>1283.75</v>
    <v t="s">...</v>
    <v>4.7766000000000002</v>
    <v>1410.75</v>
    <v>93.17</v>
    <v>102.91</v>
    <v>3.1337999999999999</v>
    <v>4</v>
    <v>672.25</v>
    <v>715.25</v>
    <v>6.9625000000000004</v>
    <v>483</v>
    <v>1287.75</v>
    <v t="s">...</v>
    <v>4.5868000000000002</v>
    <v>1371.25</v>
    <v>92.86</v>
    <v>103.2</v>
    <v>3.1705999999999999</v>
    <v t="s">...</v>
    <v t="s">...</v>
    <v t="s">...</v>
    <v t="s">...</v>
    <v t="s">...</v>
    <v t="s">...</v>
    <v t="s">...</v>
    <v t="s">...</v>
    <v t="s">...</v>
    <v t="s">...</v>
    <v t="s">...</v>
    <v t="s">...</v>
    <v>255</v>
    <v>572.75</v>
    <v>567.75</v>
    <v>6.2949999999999999</v>
    <v>456.75</v>
    <v>1070.75</v>
    <v t="s">...</v>
    <v>2.1389999999999998</v>
    <v>613.75</v>
    <v>59.02</v>
    <v>62.7</v>
    <v>1.7298</v>
    <v>256</v>
    <v>570.75</v>
    <v>566</v>
    <v>6.2850000000000001</v>
    <v>455</v>
    <v>1072.75</v>
    <v t="s">...</v>
    <v>2.1095999999999999</v>
    <v>605.75</v>
    <v>58.22</v>
    <v>61.91</v>
    <v>1.7052</v>
    <v>257</v>
    <v>576.25</v>
    <v>570.75</v>
    <v>6.33</v>
    <v>458</v>
    <v>1074.25</v>
    <v t="s">...</v>
    <v>2.1080000000000001</v>
    <v>605</v>
    <v>58.33</v>
    <v>62.11</v>
    <v>1.7072000000000001</v>
    <v>258</v>
    <v>573.75</v>
    <v>571.75</v>
    <v>6.32</v>
    <v>457.5</v>
    <v>1064.25</v>
    <v t="s">...</v>
    <v>2.1091000000000002</v>
    <v>603.5</v>
    <v>58.37</v>
    <v>62.17</v>
    <v>1.7146999999999999</v>
    <v>259</v>
    <v>573.25</v>
    <v>570</v>
    <v>6.3274999999999997</v>
    <v>457.25</v>
    <v>1058</v>
    <v t="s">...</v>
    <v>2.0897000000000001</v>
    <v>606.5</v>
    <v>57.87</v>
    <v>61.6</v>
    <v>1.6998</v>
  </a>
  <a r="12" c="12">
    <v t="s"/>
    <v t="s">/WZ25</v>
    <v t="s">/KWZ25</v>
    <v t="s">/MWEZ25</v>
    <v t="s">/CZ25</v>
    <v t="s">/SF26</v>
    <v t="s">...</v>
    <v t="s">/HOZ25</v>
    <v t="s">/LGOZ5</v>
    <v t="s">/CLF26</v>
    <v t="s">/LCOJ6</v>
    <v t="s">/RBG26</v>
    <v>0</v>
    <v>-1.4179104477611941E-2</v>
    <v>-1.2622720897615708E-2</v>
    <v>-1.3848396501457819E-2</v>
    <v>-7.8451882845188281E-3</v>
    <v>-1.3855898653998416E-3</v>
    <v t="s">...</v>
    <v>1.4759909764743936E-2</v>
    <v>-1.2439156300703082E-2</v>
    <v>2.6113989637305657E-2</v>
    <v>3.5378501502374635E-2</v>
    <v>2.0942918371322741E-2</v>
    <v>1</v>
    <v>-4.8273301151132569E-3</v>
    <v>-2.7972027972027972E-3</v>
    <v>-5.7971014492753676E-3</v>
    <v>-5.7202288091523657E-3</v>
    <v>-1.1156782149148562E-2</v>
    <v t="s">...</v>
    <v>-2.0270270270270327E-2</v>
    <v>-1.2286324786324786E-2</v>
    <v>2.7689030883919E-2</v>
    <v>-2.2243713733075821E-3</v>
    <v>-1.9796308084022857E-2</v>
    <v>2</v>
    <v>5.9768397459843111E-3</v>
    <v>3.8610038610038611E-3</v>
    <v>-5.7636887608069213E-3</v>
    <v>-4.142931123770067E-3</v>
    <v>-5.0632911392405064E-3</v>
    <v t="s">...</v>
    <v>-5.4013314910187722E-3</v>
    <v>-4.7846889952153108E-3</v>
    <v>7.8351400665450672E-3</v>
    <v>4.761442036731213E-3</v>
    <v>2.6166315655115147E-3</v>
    <v>3</v>
    <v>-4.4626255113425061E-3</v>
    <v>-4.1943376441803569E-3</v>
    <v>-3.231597845601431E-3</v>
    <v>-5.1759834368530024E-4</v>
    <v>-3.1061929722384003E-3</v>
    <v t="s">...</v>
    <v>4.137961105781808E-2</v>
    <v>2.8805834092980858E-2</v>
    <v>3.3383588197286483E-3</v>
    <v>-2.8100775193799056E-3</v>
    <v>-1.1606635967955576E-2</v>
    <v>4</v>
    <v>1.8628912071535022E-3</v>
    <v>-5.5613486270420578E-3</v>
    <v>1.4383315354190112E-3</v>
    <v>6.7743616466909851E-3</v>
    <v>-3.2894736842105261E-3</v>
    <v t="s">...</v>
    <v>-3.4870543108705076E-4</v>
    <v>-3.4520348837209303E-3</v>
    <v>2.0327436545434504E-2</v>
    <v>1.9259259259259288E-2</v>
    <v>5.4544301388976604E-3</v>
    <v t="s">...</v>
    <v t="s">...</v>
    <v t="s">...</v>
    <v t="s">...</v>
    <v t="s">...</v>
    <v t="s">...</v>
    <v t="s">...</v>
    <v t="s">...</v>
    <v t="s">...</v>
    <v t="s">...</v>
    <v t="s">...</v>
    <v t="s">...</v>
    <v>255</v>
    <v>3.504161191414805E-3</v>
    <v>3.0918727915194345E-3</v>
    <v>1.5910898965791228E-3</v>
    <v>3.8461538461538464E-3</v>
    <v>-1.8643672803542299E-3</v>
    <v t="s">...</v>
    <v>1.3936291240045445E-2</v>
    <v>1.3206768468840282E-2</v>
    <v>1.3740982480247412E-2</v>
    <v>1.276045873041522E-2</v>
    <v>1.4426460239268094E-2</v>
    <v>256</v>
    <v>-9.5444685466377441E-3</v>
    <v>-8.3223828296101615E-3</v>
    <v>-7.1090047393364813E-3</v>
    <v>-6.5502183406113534E-3</v>
    <v>-1.3963230160577147E-3</v>
    <v t="s">...</v>
    <v>7.5901328273236422E-4</v>
    <v>1.2396694214876034E-3</v>
    <v>-1.8858220469741031E-3</v>
    <v>-3.2200933827081445E-3</v>
    <v>-1.1715089034676674E-3</v>
    <v>257</v>
    <v>4.3572984749455342E-3</v>
    <v>-1.7490161783996502E-3</v>
    <v>1.5822784810126244E-3</v>
    <v>1.092896174863388E-3</v>
    <v>9.3962884660559083E-3</v>
    <v t="s">...</v>
    <v>-5.2154947607989225E-4</v>
    <v>2.4855012427506215E-3</v>
    <v>-6.8528353606303149E-4</v>
    <v>-9.6509570532414784E-4</v>
    <v>-4.3739429637836592E-3</v>
    <v>258</v>
    <v>8.7221979938944616E-4</v>
    <v>3.0701754385964912E-3</v>
    <v>-1.1853022520741836E-3</v>
    <v>5.4674685620557679E-4</v>
    <v>5.9073724007561437E-3</v>
    <v t="s">...</v>
    <v>9.2836292290759837E-3</v>
    <v>-4.9464138499587798E-3</v>
    <v>8.6400552963538969E-3</v>
    <v>9.2532467532467581E-3</v>
    <v>8.7657371455464837E-3</v>
    <v>259</v>
    <v t="r">3</v>
    <v t="r">3</v>
    <v t="r">3</v>
    <v t="r">3</v>
    <v t="r">3</v>
    <v t="s">...</v>
    <v t="r">3</v>
    <v t="r">3</v>
    <v t="r">3</v>
    <v t="r">3</v>
    <v t="r">3</v>
  </a>
  <a r="12" c="12">
    <v t="s"/>
    <v t="s">Date</v>
    <v t="s">Wheat</v>
    <v t="s">K Wheat</v>
    <v t="s">M Wheat</v>
    <v t="s">Corn</v>
    <v t="s">...</v>
    <v t="s">Heating Oil</v>
    <v t="s">LGO</v>
    <v t="s">LightCrude</v>
    <v t="s">BrentCrude</v>
    <v t="s">RBOB</v>
    <v>0</v>
    <v t="r">7</v>
    <v>660.5</v>
    <v>704</v>
    <v>6.7649999999999997</v>
    <v>474.25</v>
    <v t="s">...</v>
    <v>4.7232000000000003</v>
    <v>1369.5</v>
    <v>99.02</v>
    <v>106.82</v>
    <v>3.1442999999999999</v>
    <v>1</v>
    <v t="r">8</v>
    <v>670</v>
    <v>713</v>
    <v>6.86</v>
    <v>478</v>
    <v t="s">...</v>
    <v>4.6544999999999996</v>
    <v>1386.75</v>
    <v>96.5</v>
    <v>103.17</v>
    <v>3.0798000000000001</v>
    <v>2</v>
    <v t="r">9</v>
    <v>673.25</v>
    <v>715</v>
    <v>6.9</v>
    <v>480.75</v>
    <v t="s">...</v>
    <v>4.7507999999999999</v>
    <v>1404</v>
    <v>93.9</v>
    <v>103.4</v>
    <v>3.1419999999999999</v>
    <v>3</v>
    <v t="r">10</v>
    <v>669.25</v>
    <v>712.25</v>
    <v>6.94</v>
    <v>482.75</v>
    <v t="s">...</v>
    <v>4.7766000000000002</v>
    <v>1410.75</v>
    <v>93.17</v>
    <v>102.91</v>
    <v>3.1337999999999999</v>
    <v>4</v>
    <v t="r">11</v>
    <v>672.25</v>
    <v>715.25</v>
    <v>6.9625000000000004</v>
    <v>483</v>
    <v t="s">...</v>
    <v>4.5868000000000002</v>
    <v>1371.25</v>
    <v>92.86</v>
    <v>103.2</v>
    <v>3.1705999999999999</v>
    <v t="s">...</v>
    <v t="s">...</v>
    <v t="s">...</v>
    <v t="s">...</v>
    <v t="s">...</v>
    <v t="s">...</v>
    <v t="s">...</v>
    <v t="s">...</v>
    <v t="s">...</v>
    <v t="s">...</v>
    <v t="s">...</v>
    <v t="s">...</v>
    <v>255</v>
    <v t="r">12</v>
    <v>572.75</v>
    <v>567.75</v>
    <v>6.2949999999999999</v>
    <v>456.75</v>
    <v t="s">...</v>
    <v>2.1389999999999998</v>
    <v>613.75</v>
    <v>59.02</v>
    <v>62.7</v>
    <v>1.7298</v>
    <v>256</v>
    <v t="r">13</v>
    <v>570.75</v>
    <v>566</v>
    <v>6.2850000000000001</v>
    <v>455</v>
    <v t="s">...</v>
    <v>2.1095999999999999</v>
    <v>605.75</v>
    <v>58.22</v>
    <v>61.91</v>
    <v>1.7052</v>
    <v>257</v>
    <v t="r">14</v>
    <v>576.25</v>
    <v>570.75</v>
    <v>6.33</v>
    <v>458</v>
    <v t="s">...</v>
    <v>2.1080000000000001</v>
    <v>605</v>
    <v>58.33</v>
    <v>62.11</v>
    <v>1.7072000000000001</v>
    <v>258</v>
    <v t="r">15</v>
    <v>573.75</v>
    <v>571.75</v>
    <v>6.32</v>
    <v>457.5</v>
    <v t="s">...</v>
    <v>2.1091000000000002</v>
    <v>603.5</v>
    <v>58.37</v>
    <v>62.17</v>
    <v>1.7146999999999999</v>
    <v>259</v>
    <v t="r">16</v>
    <v>573.25</v>
    <v>570</v>
    <v>6.3274999999999997</v>
    <v>457.25</v>
    <v t="s">...</v>
    <v>2.0897000000000001</v>
    <v>606.5</v>
    <v>57.87</v>
    <v>61.6</v>
    <v>1.6998</v>
  </a>
  <a r="12" c="12">
    <v t="s"/>
    <v t="s">Date</v>
    <v t="s">Wheat</v>
    <v t="s">K Wheat</v>
    <v t="s">M Wheat</v>
    <v t="s">Corn</v>
    <v t="s">...</v>
    <v t="s">Heating Oil</v>
    <v t="s">LGO</v>
    <v t="s">LightCrude</v>
    <v t="s">BrentCrude</v>
    <v t="s">RBOB</v>
    <v>0</v>
    <v t="r">7</v>
    <v>1.7911304485546029</v>
    <v>1.6678632139665313</v>
    <v>1.365631424368515</v>
    <v>1.4974988765333508</v>
    <v t="s">...</v>
    <v>2.3680748389113933</v>
    <v>2.6631239935538304</v>
    <v>2.2065334923264812</v>
    <v>2.1319156231136041</v>
    <v>2.0315539232937523</v>
    <v>1</v>
    <v t="r">8</v>
    <v>1.8115738501998913</v>
    <v>1.6761795174954346</v>
    <v>1.378010060511325</v>
    <v>1.4942640697696123</v>
    <v t="s">...</v>
    <v>2.3904740320544162</v>
    <v>2.7151525951011366</v>
    <v>2.1938505146195766</v>
    <v>2.1035863003244275</v>
    <v>2.0337612309191555</v>
    <v>2</v>
    <v t="r">9</v>
    <v>1.8170465863256848</v>
    <v>1.6764860886900637</v>
    <v>1.3770866830196649</v>
    <v>1.4943927420763889</v>
    <v t="s">...</v>
    <v>2.3949575360138127</v>
    <v>2.7451532968241552</v>
    <v>2.1798080143777741</v>
    <v>2.1138308437844251</v>
    <v>2.0248463316971388</v>
    <v>3</v>
    <v t="r">10</v>
    <v>1.8852648588396979</v>
    <v>1.7557396545895039</v>
    <v>1.4464621436230232</v>
    <v>1.5154575671109458</v>
    <v t="s">...</v>
    <v>2.3921567908875656</v>
    <v>2.7426686959996331</v>
    <v>2.1791084313868021</v>
    <v>2.1142932364761404</v>
    <v>2.0252294213460571</v>
    <v>4</v>
    <v t="r">11</v>
    <v>1.8866556572881807</v>
    <v>1.7655764530441849</v>
    <v>1.4607462665402786</v>
    <v>1.5164610806984959</v>
    <v t="s">...</v>
    <v>2.3447340214487959</v>
    <v>2.7291288530734654</v>
    <v>2.1792795106004998</v>
    <v>2.1124738794210636</v>
    <v>2.0165772788283149</v>
    <v t="s">...</v>
    <v t="s">...</v>
    <v t="s">...</v>
    <v t="s">...</v>
    <v t="s">...</v>
    <v t="s">...</v>
    <v t="s">...</v>
    <v t="s">...</v>
    <v t="s">...</v>
    <v t="s">...</v>
    <v t="s">...</v>
    <v t="s">...</v>
    <v>255</v>
    <v t="r">12</v>
    <v t="r">3</v>
    <v t="r">3</v>
    <v t="r">3</v>
    <v t="r">3</v>
    <v t="s">...</v>
    <v t="r">3</v>
    <v t="r">3</v>
    <v t="r">3</v>
    <v t="r">3</v>
    <v t="r">3</v>
    <v>256</v>
    <v t="r">13</v>
    <v t="r">3</v>
    <v t="r">3</v>
    <v t="r">3</v>
    <v t="r">3</v>
    <v t="s">...</v>
    <v t="r">3</v>
    <v t="r">3</v>
    <v t="r">3</v>
    <v t="r">3</v>
    <v t="r">3</v>
    <v>257</v>
    <v t="r">14</v>
    <v t="r">3</v>
    <v t="r">3</v>
    <v t="r">3</v>
    <v t="r">3</v>
    <v t="s">...</v>
    <v t="r">3</v>
    <v t="r">3</v>
    <v t="r">3</v>
    <v t="r">3</v>
    <v t="r">3</v>
    <v>258</v>
    <v t="r">15</v>
    <v t="r">3</v>
    <v t="r">3</v>
    <v t="r">3</v>
    <v t="r">3</v>
    <v t="s">...</v>
    <v t="r">3</v>
    <v t="r">3</v>
    <v t="r">3</v>
    <v t="r">3</v>
    <v t="r">3</v>
    <v>259</v>
    <v t="r">16</v>
    <v t="r">3</v>
    <v t="r">3</v>
    <v t="r">3</v>
    <v t="r">3</v>
    <v t="s">...</v>
    <v t="r">3</v>
    <v t="r">3</v>
    <v t="r">3</v>
    <v t="r">3</v>
    <v t="r">3</v>
  </a>
</arrayData>
</file>

<file path=xl/richData/rdrichvalue.xml><?xml version="1.0" encoding="utf-8"?>
<rvData xmlns="http://schemas.microsoft.com/office/spreadsheetml/2017/richdata" count="24">
  <rv s="0">
    <v>0</v>
  </rv>
  <rv s="1">
    <v>DataFrame</v>
    <v>1</v>
    <v>0</v>
  </rv>
  <rv s="2">
    <v>&lt;class 'pandas.core.frame.DataFrame'&gt;</v>
    <v>DataFrame</v>
    <v xml:space="preserve">      /WZ25  /KWZ25  /MWEZ25   /CZ25    /SF26  /SMZ25  /BOZ25  /FCPOF26  \
0    660.50  704.00   6.7650  474.25  1261.25   357.1   67.13    4676.0   
1    670.00  713.00   6.8600  478.00  1263.00   359.8   67.15    4619.0   
2    673.25  715.00   6.900...</v>
    <v>1</v>
    <v>2</v>
  </rv>
  <rv s="3">
    <fb>0</fb>
    <v>3</v>
  </rv>
  <rv s="0">
    <v>1</v>
  </rv>
  <rv s="1">
    <v>DataFrame</v>
    <v>1</v>
    <v>4</v>
  </rv>
  <rv s="2">
    <v>&lt;class 'pandas.core.frame.DataFrame'&gt;</v>
    <v>DataFrame</v>
    <v xml:space="preserve">        /WZ25    /KWZ25   /MWEZ25     /CZ25     /SF26    /SMZ25    /BOZ25  \
0   -0.014179 -0.012623 -0.013848 -0.007845 -0.001386 -0.007504 -0.000298   
1   -0.004827 -0.002797 -0.005797 -0.005720 -0.011157 -0.012894  0.001342   
2    0.005977  0.0038...</v>
    <v>5</v>
    <v>2</v>
  </rv>
  <rv s="3">
    <fb>46311</fb>
    <v>6</v>
  </rv>
  <rv s="3">
    <fb>46310</fb>
    <v>6</v>
  </rv>
  <rv s="3">
    <fb>46309</fb>
    <v>6</v>
  </rv>
  <rv s="3">
    <fb>46308</fb>
    <v>6</v>
  </rv>
  <rv s="3">
    <fb>46307</fb>
    <v>6</v>
  </rv>
  <rv s="3">
    <fb>45952</fb>
    <v>6</v>
  </rv>
  <rv s="3">
    <fb>45951</fb>
    <v>6</v>
  </rv>
  <rv s="3">
    <fb>45950</fb>
    <v>6</v>
  </rv>
  <rv s="3">
    <fb>45947</fb>
    <v>6</v>
  </rv>
  <rv s="3">
    <fb>45946</fb>
    <v>6</v>
  </rv>
  <rv s="0">
    <v>2</v>
  </rv>
  <rv s="1">
    <v>DataFrame</v>
    <v>5</v>
    <v>17</v>
  </rv>
  <rv s="2">
    <v>&lt;class 'pandas.core.frame.DataFrame'&gt;</v>
    <v>DataFrame</v>
    <v xml:space="preserve">          Date   Wheat  K Wheat  M Wheat    Corn       SB    SBM    SBO  \
0   2026-10-16  660.50   704.00   6.7650  474.25  1261.25  357.1  67.13   
1   2026-10-15  670.00   713.00   6.8600  478.00  1263.00  359.8  67.15   
2   2026-10-14  673.25   71...</v>
    <v>18</v>
    <v>2</v>
  </rv>
  <rv s="0">
    <v>3</v>
  </rv>
  <rv s="1">
    <v>DataFrame</v>
    <v>5</v>
    <v>20</v>
  </rv>
  <rv s="2">
    <v>&lt;class 'pandas.core.frame.DataFrame'&gt;</v>
    <v>DataFrame</v>
    <v xml:space="preserve">          Date     Wheat   K Wheat   M Wheat      Corn        SB       SBM  \
0   2026-10-16  1.791130  1.667863  1.365631  1.497499  1.119892  1.484234   
1   2026-10-15  1.811574  1.676180  1.378010  1.494264  1.124052  1.484055   
2   2026-10-14  1....</v>
    <v>21</v>
    <v>2</v>
  </rv>
  <rv s="4">
    <v>0</v>
    <v>9</v>
    <v>Image generated by Python</v>
  </rv>
</rvData>
</file>

<file path=xl/richData/rdrichvaluestructure.xml><?xml version="1.0" encoding="utf-8"?>
<rvStructures xmlns="http://schemas.microsoft.com/office/spreadsheetml/2017/richdata" count="5"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  <s t="_formattednumber">
    <k n="_Format" t="spb"/>
  </s>
  <s t="_localImage">
    <k n="_rvRel:LocalImageIdentifier" t="i"/>
    <k n="CalcOrigin" t="i"/>
    <k n="Text" t="s"/>
  </s>
</rvStructures>
</file>

<file path=xl/richData/rdsupportingpropertybag.xml><?xml version="1.0" encoding="utf-8"?>
<supportingPropertyBags xmlns="http://schemas.microsoft.com/office/spreadsheetml/2017/richdata2">
  <spbData count="7">
    <spb s="0">
      <v>260</v>
      <v>21</v>
      <v>DataFrame</v>
      <v>arrayPreview</v>
      <v>1</v>
    </spb>
    <spb s="1">
      <v>0</v>
    </spb>
    <spb s="2">
      <v>https://www.anaconda.com/excel</v>
      <v>https://res.cdn.office.net/officepysvc/prod-service/anacondalogo.png</v>
      <v>Python provided by Anaconda</v>
    </spb>
    <spb s="3">
      <v>1</v>
    </spb>
    <spb s="0">
      <v>260</v>
      <v>22</v>
      <v>DataFrame</v>
      <v>arrayPreview</v>
      <v>1</v>
    </spb>
    <spb s="1">
      <v>4</v>
    </spb>
    <spb s="3">
      <v>2</v>
    </spb>
  </spbData>
</supportingPropertyBags>
</file>

<file path=xl/richData/rdsupportingpropertybagstructure.xml><?xml version="1.0" encoding="utf-8"?>
<spbStructures xmlns="http://schemas.microsoft.com/office/spreadsheetml/2017/richdata2" count="4">
  <s>
    <k n="drw" t="i"/>
    <k n="dcol" t="i"/>
    <k n="name" t="s"/>
    <k n="array" t="s"/>
    <k n="headers" t="b"/>
  </s>
  <s>
    <k n="ArrayCardInfo" t="spb"/>
  </s>
  <s>
    <k n="link" t="s"/>
    <k n="logo" t="s"/>
    <k n="name" t="s"/>
  </s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0" formatCode="General"/>
    </x:dxf>
    <x:dxf>
      <x:numFmt numFmtId="19" formatCode="d/m/yyyy"/>
    </x:dxf>
  </dxfs>
  <richProperties>
    <rPr n="NumberFormat" t="s"/>
  </richProperties>
  <richStyles>
    <rSty dxfid="0">
      <rpv i="0">0;-0;"nan"</rpv>
    </rSty>
    <rSty dxfid="1"/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BB26D3-1490-40D1-A937-C55199A8BC7D}" name="Table2" displayName="Table2" ref="C2:X264" totalsRowShown="0" headerRowDxfId="3" tableBorderDxfId="2">
  <autoFilter ref="C2:X264" xr:uid="{46BB26D3-1490-40D1-A937-C55199A8BC7D}"/>
  <tableColumns count="22">
    <tableColumn id="1" xr3:uid="{A2D1D70F-10EF-47DF-9E65-AEC00E3EA2F1}" name="Column1" dataDxfId="1"/>
    <tableColumn id="2" xr3:uid="{66FB57E2-D609-4CFF-903C-9DB6C524ADE1}" name="Column2"/>
    <tableColumn id="3" xr3:uid="{214204A4-AF54-4DB2-8DED-6CD0071D31D5}" name="Column3"/>
    <tableColumn id="4" xr3:uid="{C2571B16-EC9E-4AFC-A267-4870D192EB1A}" name="Column4"/>
    <tableColumn id="5" xr3:uid="{7A2CC4A3-D277-4750-8ECD-20B289B5FEC3}" name="Column5"/>
    <tableColumn id="6" xr3:uid="{3B575241-B490-4DBB-8DE5-6863430780A3}" name="Column6"/>
    <tableColumn id="7" xr3:uid="{D5717C63-37F1-4196-B924-449E1CE07718}" name="Column7"/>
    <tableColumn id="8" xr3:uid="{1A076229-B142-444D-ADB7-7BEFC68AC461}" name="Column8"/>
    <tableColumn id="9" xr3:uid="{CB13140E-ECFC-4408-B38D-42283A1F64B9}" name="Column9"/>
    <tableColumn id="10" xr3:uid="{4D97307C-712A-4C3A-9C90-C50E1E90321A}" name="Column10"/>
    <tableColumn id="11" xr3:uid="{73367E0B-E227-4392-8B47-A775C21506D9}" name="Column11"/>
    <tableColumn id="12" xr3:uid="{34E58A29-1733-4CB9-A2FA-77CB257097D0}" name="Column12"/>
    <tableColumn id="13" xr3:uid="{F0E6911D-5CB5-4B54-AE3A-7053666B2060}" name="Column13"/>
    <tableColumn id="14" xr3:uid="{BAD26FC1-6E36-4173-BF9F-9829DC7F5139}" name="Column14"/>
    <tableColumn id="15" xr3:uid="{DCC3DFA9-B838-4901-AB88-47D8D90C4526}" name="Column15"/>
    <tableColumn id="16" xr3:uid="{1D324A06-F3FF-4EC7-A561-63048E12ABF8}" name="Column16"/>
    <tableColumn id="17" xr3:uid="{4C179DB5-86C4-42C7-BED1-05F05DE06D96}" name="Column17"/>
    <tableColumn id="18" xr3:uid="{2BB49847-6D93-42AB-925A-0F3511829EF3}" name="Column18"/>
    <tableColumn id="19" xr3:uid="{E79DDB07-C8A7-41CB-8EDF-299DA25B994E}" name="Column19"/>
    <tableColumn id="20" xr3:uid="{BF874AE0-7272-427F-B21E-006D3CFA79C6}" name="Column20"/>
    <tableColumn id="21" xr3:uid="{66497D45-4DFA-4CC0-B9A7-2240D91C5E73}" name="Column21"/>
    <tableColumn id="22" xr3:uid="{B0153CD2-0D59-4799-AC5A-9B97CD06A904}" name="Column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05B6ABD-3A4D-47BE-889E-2C89D26C82E7}" name="VaR" displayName="VaR" ref="A1:U261" tableType="queryTable" totalsRowShown="0">
  <autoFilter ref="A1:U261" xr:uid="{B05B6ABD-3A4D-47BE-889E-2C89D26C82E7}"/>
  <tableColumns count="21">
    <tableColumn id="1" xr3:uid="{EA0BAB1D-171B-4FB0-A949-269FA242D5B3}" uniqueName="1" name="/WZ25" queryTableFieldId="1"/>
    <tableColumn id="2" xr3:uid="{AC135B94-DD8D-46DC-BE21-055D9ECB37F3}" uniqueName="2" name="/KWZ25" queryTableFieldId="2"/>
    <tableColumn id="3" xr3:uid="{4BDB922F-23A7-49CA-A9A3-71D20A17AFB8}" uniqueName="3" name="/MWEZ25" queryTableFieldId="3"/>
    <tableColumn id="4" xr3:uid="{5727F81B-B74C-4209-8B0B-97B50D2460C1}" uniqueName="4" name="/CZ25" queryTableFieldId="4"/>
    <tableColumn id="5" xr3:uid="{D6FCD940-05AD-4826-8F89-FC876D6A15CD}" uniqueName="5" name="/SF26" queryTableFieldId="5"/>
    <tableColumn id="6" xr3:uid="{633F6807-39A9-4018-ACA9-68E76BECADE1}" uniqueName="6" name="/SMZ25" queryTableFieldId="6"/>
    <tableColumn id="7" xr3:uid="{88DD75B3-E836-4D54-B655-EF720D7BF4C1}" uniqueName="7" name="/BOZ25" queryTableFieldId="7"/>
    <tableColumn id="8" xr3:uid="{E2A38BA9-8053-436F-94E0-CBC423C385C0}" uniqueName="8" name="/FCPOF26" queryTableFieldId="8"/>
    <tableColumn id="20" xr3:uid="{EC2AB8A0-91EF-4E9B-9CD8-2E66292B48FB}" uniqueName="20" name="/DCPF6" queryTableFieldId="20"/>
    <tableColumn id="9" xr3:uid="{D470EFAF-1253-48B3-AC06-A1C8316DEB4D}" uniqueName="9" name="/DSMF6" queryTableFieldId="9"/>
    <tableColumn id="10" xr3:uid="{2E20844C-573B-4D64-94A1-7DD9A3A225B0}" uniqueName="10" name="/DBYF6" queryTableFieldId="10"/>
    <tableColumn id="11" xr3:uid="{B025E280-C9F1-4980-96A1-644F28A83332}" uniqueName="11" name="/CRSMF6" queryTableFieldId="11"/>
    <tableColumn id="12" xr3:uid="{A9D99CF3-447F-4B31-B0ED-5F12DE5648D1}" uniqueName="12" name="/COIF6" queryTableFieldId="12"/>
    <tableColumn id="13" xr3:uid="{76F5A541-4CDF-4D97-8A37-8DD8577F3B43}" uniqueName="13" name="/COMG6" queryTableFieldId="13"/>
    <tableColumn id="14" xr3:uid="{55CE1C37-6FE3-4A8E-B5AE-7B772CA34246}" uniqueName="14" name="/RSF6" queryTableFieldId="14"/>
    <tableColumn id="15" xr3:uid="{CBCB43B5-0245-4935-A122-85FC5AD71A08}" uniqueName="15" name="/CUUZ25" queryTableFieldId="15"/>
    <tableColumn id="16" xr3:uid="{101B1FAB-7DBD-4661-A372-B6AE706B03C3}" uniqueName="16" name="/HOZ25" queryTableFieldId="16"/>
    <tableColumn id="17" xr3:uid="{2F0A862E-73E6-421E-B987-6C0DE396C331}" uniqueName="17" name="/LGOZ5" queryTableFieldId="17"/>
    <tableColumn id="18" xr3:uid="{9F9C52C0-0B27-4E76-8874-70D2BDFB7236}" uniqueName="18" name="/CLF26" queryTableFieldId="18"/>
    <tableColumn id="21" xr3:uid="{B4216728-802E-4082-A33C-553F5BBD2039}" uniqueName="21" name="/LCOJ6" queryTableFieldId="24"/>
    <tableColumn id="19" xr3:uid="{0DE6095A-5916-437E-A593-D75A524F6D82}" uniqueName="19" name="/RBG26" queryTableFieldId="2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AE0112-9901-42EF-987C-1F14704F4E04}" name="Table2__2" displayName="Table2__2" ref="A1:V261" tableType="queryTable" totalsRowShown="0">
  <autoFilter ref="A1:V261" xr:uid="{0DAE0112-9901-42EF-987C-1F14704F4E04}"/>
  <tableColumns count="22">
    <tableColumn id="1" xr3:uid="{98F11070-768A-477F-8F41-A9F90CCECC6C}" uniqueName="1" name="Date" queryTableFieldId="1" dataDxfId="0"/>
    <tableColumn id="23" xr3:uid="{7A9AC507-4DEB-436A-9265-069F55ABE30C}" uniqueName="23" name="Wheat" queryTableFieldId="24"/>
    <tableColumn id="24" xr3:uid="{ED4EFE83-3000-4ECD-A230-B22FC1AE168B}" uniqueName="24" name="K Wheat" queryTableFieldId="25"/>
    <tableColumn id="25" xr3:uid="{5DC3BD6E-25A0-4837-8E98-07B3ACDE90C9}" uniqueName="25" name="M Wheat" queryTableFieldId="26"/>
    <tableColumn id="26" xr3:uid="{C6E35E27-6B2D-4750-9754-5BB9CE8C8866}" uniqueName="26" name="Corn" queryTableFieldId="27"/>
    <tableColumn id="27" xr3:uid="{49CE1087-AE10-40EB-8AEF-1C52DA234B63}" uniqueName="27" name="SB" queryTableFieldId="28"/>
    <tableColumn id="28" xr3:uid="{10F624DF-9190-4888-A2AE-A1405731CCAD}" uniqueName="28" name="SBM" queryTableFieldId="29"/>
    <tableColumn id="29" xr3:uid="{8C691D1C-90CE-4CD2-B194-CEDAA4DD1743}" uniqueName="29" name="SBO" queryTableFieldId="30"/>
    <tableColumn id="30" xr3:uid="{22DE7B12-7D51-4DF3-97DC-026A245F9A9F}" uniqueName="30" name="CPO" queryTableFieldId="31"/>
    <tableColumn id="31" xr3:uid="{B65AE57E-B014-42E4-9A07-683CE00B9792}" uniqueName="31" name="DCP" queryTableFieldId="32"/>
    <tableColumn id="32" xr3:uid="{F0FFE3C3-0258-408C-B7E9-C515AC5118E2}" uniqueName="32" name="DSM" queryTableFieldId="33"/>
    <tableColumn id="33" xr3:uid="{7CF42D9E-29A7-4DC1-9F6A-038BBD45389F}" uniqueName="33" name="DBY" queryTableFieldId="34"/>
    <tableColumn id="34" xr3:uid="{B91430B3-4160-4648-AB54-F455E1B6BA1A}" uniqueName="34" name="ZZRSM" queryTableFieldId="35"/>
    <tableColumn id="35" xr3:uid="{40398A04-1E2C-42CB-967D-AA44D3699CDD}" uniqueName="35" name="ZZRSO" queryTableFieldId="36"/>
    <tableColumn id="36" xr3:uid="{CE15ED9D-5601-42A5-97FC-FDCAE5875578}" uniqueName="36" name="RS EUR" queryTableFieldId="37"/>
    <tableColumn id="37" xr3:uid="{00083605-4A4B-4EC8-AFE4-A60DB33041DD}" uniqueName="37" name="RS CAD" queryTableFieldId="38"/>
    <tableColumn id="38" xr3:uid="{2F047254-75CD-4280-BBEF-48529C1C35F3}" uniqueName="38" name="Ethanol" queryTableFieldId="39"/>
    <tableColumn id="39" xr3:uid="{322E147B-0EF4-490D-96A6-6F12C7CA4115}" uniqueName="39" name="Heating Oil" queryTableFieldId="40"/>
    <tableColumn id="40" xr3:uid="{90EAA9C0-216E-4850-B7C3-7216B8D88EC8}" uniqueName="40" name="LGO" queryTableFieldId="41"/>
    <tableColumn id="3" xr3:uid="{07E3F8B0-95D7-426D-92E4-A025A4400808}" uniqueName="3" name="LightCrude" queryTableFieldId="67"/>
    <tableColumn id="4" xr3:uid="{D75AFC79-6FA1-4745-AA17-EF5B7589C5C0}" uniqueName="4" name="BrentCrude" queryTableFieldId="68"/>
    <tableColumn id="43" xr3:uid="{0A431D67-5F88-4218-A694-375482AF7498}" uniqueName="43" name="RBOB" queryTableFieldId="6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4D5F546-8AE1-40DF-986E-10A50E8D910D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3d1d2352-5e71-432b-9ddc-72dc5e3adf2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customProperty" Target="../customProperty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2F00A-0C79-4082-8D8F-D440E42395A7}">
  <sheetPr codeName="Sheet6">
    <tabColor theme="5"/>
  </sheetPr>
  <dimension ref="B2:R24"/>
  <sheetViews>
    <sheetView showGridLines="0" tabSelected="1" zoomScaleNormal="100" workbookViewId="0">
      <selection activeCell="U17" sqref="U17"/>
    </sheetView>
  </sheetViews>
  <sheetFormatPr defaultRowHeight="15" x14ac:dyDescent="0.25"/>
  <cols>
    <col min="3" max="3" width="19.28515625" bestFit="1" customWidth="1"/>
  </cols>
  <sheetData>
    <row r="2" spans="2:11" x14ac:dyDescent="0.25">
      <c r="B2" s="49" t="str">
        <f>VaR!AU1</f>
        <v>n=60</v>
      </c>
      <c r="C2" s="50"/>
      <c r="D2" s="50"/>
      <c r="E2" s="50"/>
      <c r="F2" s="29" t="str">
        <f>VaR!AY1</f>
        <v>%</v>
      </c>
      <c r="G2" s="30"/>
      <c r="H2" s="35" t="str">
        <f>VaR!BA1</f>
        <v>Base Unit</v>
      </c>
      <c r="I2" s="30"/>
      <c r="J2" s="29" t="str">
        <f>VaR!BC1</f>
        <v>$/MT</v>
      </c>
      <c r="K2" s="30"/>
    </row>
    <row r="3" spans="2:11" x14ac:dyDescent="0.25">
      <c r="B3" s="42" t="str">
        <f>VaR!AU2</f>
        <v>Unit</v>
      </c>
      <c r="C3" s="43" t="str">
        <f>VaR!AV2</f>
        <v>Commodity</v>
      </c>
      <c r="D3" s="44" t="str">
        <f>VaR!AW2</f>
        <v>Mean</v>
      </c>
      <c r="E3" s="44" t="str">
        <f>VaR!AX2</f>
        <v>σ</v>
      </c>
      <c r="F3" s="45" t="str">
        <f>VaR!AY2</f>
        <v>Z_95</v>
      </c>
      <c r="G3" s="46" t="str">
        <f>VaR!AZ2</f>
        <v>Z_99</v>
      </c>
      <c r="H3" s="45" t="str">
        <f>VaR!BA2</f>
        <v>Z_95</v>
      </c>
      <c r="I3" s="46" t="str">
        <f>VaR!BB2</f>
        <v>Z_99</v>
      </c>
      <c r="J3" s="45" t="str">
        <f>VaR!BC2</f>
        <v>Z_95</v>
      </c>
      <c r="K3" s="46" t="str">
        <f>VaR!BD2</f>
        <v>Z_99</v>
      </c>
    </row>
    <row r="4" spans="2:11" x14ac:dyDescent="0.25">
      <c r="B4" s="51" t="str">
        <f>VaR!AU3</f>
        <v>c/bu</v>
      </c>
      <c r="C4" s="52" t="str">
        <f>VaR!AV3</f>
        <v>Wheat</v>
      </c>
      <c r="D4" s="52">
        <f>VaR!AW3</f>
        <v>-1.632542594516014E-3</v>
      </c>
      <c r="E4" s="53">
        <f>VaR!AX3</f>
        <v>1.8083156348321808E-2</v>
      </c>
      <c r="F4" s="51">
        <f>VaR!AY3</f>
        <v>2.9744145307145205E-2</v>
      </c>
      <c r="G4" s="53">
        <f>VaR!AZ3</f>
        <v>4.2067712326128041E-2</v>
      </c>
      <c r="H4" s="49">
        <f>VaR!BA3</f>
        <v>20.966415446408416</v>
      </c>
      <c r="I4" s="30">
        <f>VaR!BB3</f>
        <v>29.653201475509153</v>
      </c>
      <c r="J4" s="49">
        <f>VaR!BC3</f>
        <v>7.7030610350104523</v>
      </c>
      <c r="K4" s="30">
        <f>VaR!BD3</f>
        <v>10.894586222102063</v>
      </c>
    </row>
    <row r="5" spans="2:11" x14ac:dyDescent="0.25">
      <c r="B5" s="31" t="str">
        <f>VaR!AU4</f>
        <v>c/bu</v>
      </c>
      <c r="C5" s="40" t="str">
        <f>VaR!AV4</f>
        <v>Kansas Wheat</v>
      </c>
      <c r="D5" s="40">
        <f>VaR!AW4</f>
        <v>-1.895579620614359E-3</v>
      </c>
      <c r="E5" s="32">
        <f>VaR!AX4</f>
        <v>1.6569398421939326E-2</v>
      </c>
      <c r="F5" s="31">
        <f>VaR!AY4</f>
        <v>2.7254235091534979E-2</v>
      </c>
      <c r="G5" s="32">
        <f>VaR!AZ4</f>
        <v>3.8546184792337505E-2</v>
      </c>
      <c r="H5" s="36">
        <f>VaR!BA4</f>
        <v>20.831966827935968</v>
      </c>
      <c r="I5" s="37">
        <f>VaR!BB4</f>
        <v>29.463048228672179</v>
      </c>
      <c r="J5" s="36">
        <f>VaR!BC4</f>
        <v>7.6536646125836745</v>
      </c>
      <c r="K5" s="37">
        <f>VaR!BD4</f>
        <v>10.824723919214158</v>
      </c>
    </row>
    <row r="6" spans="2:11" x14ac:dyDescent="0.25">
      <c r="B6" s="31" t="str">
        <f>VaR!AU5</f>
        <v>$/bu</v>
      </c>
      <c r="C6" s="40" t="str">
        <f>VaR!AV5</f>
        <v>Minneapolis Wheat</v>
      </c>
      <c r="D6" s="40">
        <f>VaR!AW5</f>
        <v>-1.8797938945933289E-3</v>
      </c>
      <c r="E6" s="32">
        <f>VaR!AX5</f>
        <v>1.375667085988415E-2</v>
      </c>
      <c r="F6" s="31">
        <f>VaR!AY5</f>
        <v>2.2627709959325653E-2</v>
      </c>
      <c r="G6" s="32">
        <f>VaR!AZ5</f>
        <v>3.200280200820925E-2</v>
      </c>
      <c r="H6" s="36">
        <f>VaR!BA5</f>
        <v>0.165237534151669</v>
      </c>
      <c r="I6" s="37">
        <f>VaR!BB5</f>
        <v>0.23369859783805405</v>
      </c>
      <c r="J6" s="36">
        <f>VaR!BC5</f>
        <v>6.0708270047323198</v>
      </c>
      <c r="K6" s="37">
        <f>VaR!BD5</f>
        <v>8.5860864845701066</v>
      </c>
    </row>
    <row r="7" spans="2:11" x14ac:dyDescent="0.25">
      <c r="B7" s="31" t="str">
        <f>VaR!AU6</f>
        <v>c/bu</v>
      </c>
      <c r="C7" s="40" t="str">
        <f>VaR!AV6</f>
        <v>Corn</v>
      </c>
      <c r="D7" s="40">
        <f>VaR!AW6</f>
        <v>-1.5340276956393544E-4</v>
      </c>
      <c r="E7" s="32">
        <f>VaR!AX6</f>
        <v>1.4975787439318473E-2</v>
      </c>
      <c r="F7" s="31">
        <f>VaR!AY6</f>
        <v>2.4632978286744035E-2</v>
      </c>
      <c r="G7" s="32">
        <f>VaR!AZ6</f>
        <v>3.4838891270934438E-2</v>
      </c>
      <c r="H7" s="36">
        <f>VaR!BA6</f>
        <v>12.2696589025973</v>
      </c>
      <c r="I7" s="37">
        <f>VaR!BB6</f>
        <v>17.353212732261191</v>
      </c>
      <c r="J7" s="36">
        <f>VaR!BC6</f>
        <v>4.8293377440622969</v>
      </c>
      <c r="K7" s="37">
        <f>VaR!BD6</f>
        <v>6.830224531418005</v>
      </c>
    </row>
    <row r="8" spans="2:11" x14ac:dyDescent="0.25">
      <c r="B8" s="31" t="str">
        <f>VaR!AU7</f>
        <v>c/bu</v>
      </c>
      <c r="C8" s="40" t="str">
        <f>VaR!AV7</f>
        <v>Soy</v>
      </c>
      <c r="D8" s="40">
        <f>VaR!AW7</f>
        <v>2.7636779759418657E-4</v>
      </c>
      <c r="E8" s="32">
        <f>VaR!AX7</f>
        <v>1.1235608867466284E-2</v>
      </c>
      <c r="F8" s="31">
        <f>VaR!AY7</f>
        <v>1.8480931997205279E-2</v>
      </c>
      <c r="G8" s="32">
        <f>VaR!AZ7</f>
        <v>2.6137934801925739E-2</v>
      </c>
      <c r="H8" s="36">
        <f>VaR!BA7</f>
        <v>23.417379804206597</v>
      </c>
      <c r="I8" s="37">
        <f>VaR!BB7</f>
        <v>33.119647139378287</v>
      </c>
      <c r="J8" s="36">
        <f>VaR!BC7</f>
        <v>8.6035453400655033</v>
      </c>
      <c r="K8" s="37">
        <f>VaR!BD7</f>
        <v>12.168158359007583</v>
      </c>
    </row>
    <row r="9" spans="2:11" x14ac:dyDescent="0.25">
      <c r="B9" s="31" t="str">
        <f>VaR!AU8</f>
        <v>$/st</v>
      </c>
      <c r="C9" s="40" t="str">
        <f>VaR!AV8</f>
        <v>SBM</v>
      </c>
      <c r="D9" s="40">
        <f>VaR!AW8</f>
        <v>1.5280748115606073E-3</v>
      </c>
      <c r="E9" s="32">
        <f>VaR!AX8</f>
        <v>1.4742804547885435E-2</v>
      </c>
      <c r="F9" s="31">
        <f>VaR!AY8</f>
        <v>2.4249755532741453E-2</v>
      </c>
      <c r="G9" s="32">
        <f>VaR!AZ8</f>
        <v>3.4296892016770816E-2</v>
      </c>
      <c r="H9" s="36">
        <f>VaR!BA8</f>
        <v>8.4956408031642923</v>
      </c>
      <c r="I9" s="37">
        <f>VaR!BB8</f>
        <v>12.015546913287078</v>
      </c>
      <c r="J9" s="36">
        <f>VaR!BC8</f>
        <v>9.3647448573280005</v>
      </c>
      <c r="K9" s="37">
        <f>VaR!BD8</f>
        <v>13.244737362516346</v>
      </c>
    </row>
    <row r="10" spans="2:11" x14ac:dyDescent="0.25">
      <c r="B10" s="31" t="str">
        <f>VaR!AU9</f>
        <v>c/lb</v>
      </c>
      <c r="C10" s="40" t="str">
        <f>VaR!AV9</f>
        <v>SBO</v>
      </c>
      <c r="D10" s="40">
        <f>VaR!AW9</f>
        <v>-1.58588257326438E-3</v>
      </c>
      <c r="E10" s="32">
        <f>VaR!AX9</f>
        <v>1.4886735602932992E-2</v>
      </c>
      <c r="F10" s="31">
        <f>VaR!AY9</f>
        <v>2.4486501050674365E-2</v>
      </c>
      <c r="G10" s="32">
        <f>VaR!AZ9</f>
        <v>3.4631725720683272E-2</v>
      </c>
      <c r="H10" s="36">
        <f>VaR!BA9</f>
        <v>1.7092732917435201</v>
      </c>
      <c r="I10" s="37">
        <f>VaR!BB9</f>
        <v>2.4174578351904135</v>
      </c>
      <c r="J10" s="36">
        <f>VaR!BC9</f>
        <v>37.672383350027182</v>
      </c>
      <c r="K10" s="37">
        <f>VaR!BD9</f>
        <v>53.280770687596714</v>
      </c>
    </row>
    <row r="11" spans="2:11" x14ac:dyDescent="0.25">
      <c r="B11" s="31" t="str">
        <f>VaR!AU10</f>
        <v>myr/MT</v>
      </c>
      <c r="C11" s="40" t="str">
        <f>VaR!AV10</f>
        <v>CPO</v>
      </c>
      <c r="D11" s="40">
        <f>VaR!AW10</f>
        <v>2.8148589262981251E-4</v>
      </c>
      <c r="E11" s="32">
        <f>VaR!AX10</f>
        <v>9.9225392639308244E-3</v>
      </c>
      <c r="F11" s="31">
        <f>VaR!AY10</f>
        <v>1.6321124697326526E-2</v>
      </c>
      <c r="G11" s="32">
        <f>VaR!AZ10</f>
        <v>2.3083278121326999E-2</v>
      </c>
      <c r="H11" s="36">
        <f>VaR!BA10</f>
        <v>77.897244051110377</v>
      </c>
      <c r="I11" s="37">
        <f>VaR!BB10</f>
        <v>110.1715588026361</v>
      </c>
      <c r="J11" s="36">
        <f>VaR!BC10</f>
        <v>18.770420253279607</v>
      </c>
      <c r="K11" s="37">
        <f>VaR!BD10</f>
        <v>26.547363566900263</v>
      </c>
    </row>
    <row r="12" spans="2:11" x14ac:dyDescent="0.25">
      <c r="B12" s="31" t="str">
        <f>VaR!AU11</f>
        <v>cny/MT</v>
      </c>
      <c r="C12" s="26" t="str">
        <f>VaR!AV11</f>
        <v>DCE Palm</v>
      </c>
      <c r="D12" s="40">
        <f>VaR!AW11</f>
        <v>-8.0373658364015398E-6</v>
      </c>
      <c r="E12" s="32">
        <f>VaR!AX11</f>
        <v>8.0864081248930974E-3</v>
      </c>
      <c r="F12" s="31">
        <f>VaR!AY11</f>
        <v>1.3300957733632681E-2</v>
      </c>
      <c r="G12" s="32">
        <f>VaR!AZ11</f>
        <v>1.8811798349641383E-2</v>
      </c>
      <c r="H12" s="36">
        <f>VaR!BA11</f>
        <v>131.39846072369591</v>
      </c>
      <c r="I12" s="37">
        <f>VaR!BB11</f>
        <v>185.83935052565164</v>
      </c>
      <c r="J12" s="36">
        <f>VaR!BC11</f>
        <v>18.454839989283133</v>
      </c>
      <c r="K12" s="37">
        <f>VaR!BD11</f>
        <v>26.101032377198266</v>
      </c>
    </row>
    <row r="13" spans="2:11" x14ac:dyDescent="0.25">
      <c r="B13" s="31" t="str">
        <f>VaR!AU12</f>
        <v>cny/MT</v>
      </c>
      <c r="C13" s="40" t="str">
        <f>VaR!AV12</f>
        <v>DCE Meal</v>
      </c>
      <c r="D13" s="40">
        <f>VaR!AW12</f>
        <v>9.57497629941199E-4</v>
      </c>
      <c r="E13" s="32">
        <f>VaR!AX12</f>
        <v>7.517113607600762E-3</v>
      </c>
      <c r="F13" s="31">
        <f>VaR!AY12</f>
        <v>1.2364551582033168E-2</v>
      </c>
      <c r="G13" s="32">
        <f>VaR!AZ12</f>
        <v>1.7487421259658503E-2</v>
      </c>
      <c r="H13" s="36">
        <f>VaR!BA12</f>
        <v>40.847204640717649</v>
      </c>
      <c r="I13" s="37">
        <f>VaR!BB12</f>
        <v>57.770981025277841</v>
      </c>
      <c r="J13" s="36">
        <f>VaR!BC12</f>
        <v>5.7369669439210185</v>
      </c>
      <c r="K13" s="37">
        <f>VaR!BD12</f>
        <v>8.1139018293929563</v>
      </c>
    </row>
    <row r="14" spans="2:11" x14ac:dyDescent="0.25">
      <c r="B14" s="31" t="str">
        <f>VaR!AU13</f>
        <v>cny/MT</v>
      </c>
      <c r="C14" s="40" t="str">
        <f>VaR!AV13</f>
        <v>DCE BO</v>
      </c>
      <c r="D14" s="40">
        <f>VaR!AW13</f>
        <v>6.1414361537515301E-4</v>
      </c>
      <c r="E14" s="32">
        <f>VaR!AX13</f>
        <v>6.2962083672643571E-3</v>
      </c>
      <c r="F14" s="31">
        <f>VaR!AY13</f>
        <v>1.0356341169242526E-2</v>
      </c>
      <c r="G14" s="32">
        <f>VaR!AZ13</f>
        <v>1.464717094944645E-2</v>
      </c>
      <c r="H14" s="36">
        <f>VaR!BA13</f>
        <v>91.621522758125863</v>
      </c>
      <c r="I14" s="37">
        <f>VaR!BB13</f>
        <v>129.58206808331931</v>
      </c>
      <c r="J14" s="36">
        <f>VaR!BC13</f>
        <v>12.868191398613185</v>
      </c>
      <c r="K14" s="37">
        <f>VaR!BD13</f>
        <v>18.199728663387546</v>
      </c>
    </row>
    <row r="15" spans="2:11" x14ac:dyDescent="0.25">
      <c r="B15" s="31" t="str">
        <f>VaR!AU14</f>
        <v>cny/MT</v>
      </c>
      <c r="C15" s="40" t="str">
        <f>VaR!AV14</f>
        <v>ZZ RSM</v>
      </c>
      <c r="D15" s="40">
        <f>VaR!AW14</f>
        <v>6.6726029327588603E-4</v>
      </c>
      <c r="E15" s="32">
        <f>VaR!AX14</f>
        <v>9.1988432845687019E-3</v>
      </c>
      <c r="F15" s="31">
        <f>VaR!AY14</f>
        <v>1.5130750740827422E-2</v>
      </c>
      <c r="G15" s="32">
        <f>VaR!AZ14</f>
        <v>2.1399709518315577E-2</v>
      </c>
      <c r="H15" s="36">
        <f>VaR!BA14</f>
        <v>35.266956165001808</v>
      </c>
      <c r="I15" s="37">
        <f>VaR!BB14</f>
        <v>49.878729116182413</v>
      </c>
      <c r="J15" s="36">
        <f>VaR!BC14</f>
        <v>4.9532241804777826</v>
      </c>
      <c r="K15" s="37">
        <f>VaR!BD14</f>
        <v>7.0054394826098898</v>
      </c>
    </row>
    <row r="16" spans="2:11" x14ac:dyDescent="0.25">
      <c r="B16" s="31" t="str">
        <f>VaR!AU15</f>
        <v>cny/MT</v>
      </c>
      <c r="C16" s="40" t="str">
        <f>VaR!AV15</f>
        <v>ZZ RSO</v>
      </c>
      <c r="D16" s="40">
        <f>VaR!AW15</f>
        <v>9.1709065508135035E-4</v>
      </c>
      <c r="E16" s="32">
        <f>VaR!AX15</f>
        <v>7.6943752183666102E-3</v>
      </c>
      <c r="F16" s="31">
        <f>VaR!AY15</f>
        <v>1.2656120985429236E-2</v>
      </c>
      <c r="G16" s="32">
        <f>VaR!AZ15</f>
        <v>1.7899793431005451E-2</v>
      </c>
      <c r="H16" s="36">
        <f>VaR!BA15</f>
        <v>128.53029255096394</v>
      </c>
      <c r="I16" s="37">
        <f>VaR!BB15</f>
        <v>181.78284554467106</v>
      </c>
      <c r="J16" s="36">
        <f>VaR!BC15</f>
        <v>18.052007380753363</v>
      </c>
      <c r="K16" s="37">
        <f>VaR!BD15</f>
        <v>25.531298531554928</v>
      </c>
    </row>
    <row r="17" spans="2:18" x14ac:dyDescent="0.25">
      <c r="B17" s="31" t="str">
        <f>VaR!AU16</f>
        <v>eur/MT</v>
      </c>
      <c r="C17" s="40" t="str">
        <f>VaR!AV16</f>
        <v>Matif RS</v>
      </c>
      <c r="D17" s="40">
        <f>VaR!AW16</f>
        <v>1.187052700616531E-4</v>
      </c>
      <c r="E17" s="32">
        <f>VaR!AX16</f>
        <v>1.0862367920824526E-2</v>
      </c>
      <c r="F17" s="31">
        <f>VaR!AY16</f>
        <v>1.7867005272376672E-2</v>
      </c>
      <c r="G17" s="32">
        <f>VaR!AZ16</f>
        <v>2.5269646519215937E-2</v>
      </c>
      <c r="H17" s="36">
        <f>VaR!BA16</f>
        <v>9.6685828408453798</v>
      </c>
      <c r="I17" s="37">
        <f>VaR!BB16</f>
        <v>13.674461220854598</v>
      </c>
      <c r="J17" s="36">
        <f>VaR!BC16</f>
        <v>11.176881764017258</v>
      </c>
      <c r="K17" s="37">
        <f>VaR!BD16</f>
        <v>15.807677171307914</v>
      </c>
    </row>
    <row r="18" spans="2:18" x14ac:dyDescent="0.25">
      <c r="B18" s="31" t="str">
        <f>VaR!AU17</f>
        <v>cad/MT</v>
      </c>
      <c r="C18" s="40" t="str">
        <f>VaR!AV17</f>
        <v>ICE RS</v>
      </c>
      <c r="D18" s="40">
        <f>VaR!AW17</f>
        <v>6.3757119382052416E-4</v>
      </c>
      <c r="E18" s="32">
        <f>VaR!AX17</f>
        <v>1.6239282536706225E-2</v>
      </c>
      <c r="F18" s="31">
        <f>VaR!AY17</f>
        <v>2.6711242780378997E-2</v>
      </c>
      <c r="G18" s="32">
        <f>VaR!AZ17</f>
        <v>3.7778220404551859E-2</v>
      </c>
      <c r="H18" s="36">
        <f>VaR!BA17</f>
        <v>21.894394034096955</v>
      </c>
      <c r="I18" s="37">
        <f>VaR!BB17</f>
        <v>30.965659301026509</v>
      </c>
      <c r="J18" s="36">
        <f>VaR!BC17</f>
        <v>15.624344561547815</v>
      </c>
      <c r="K18" s="37">
        <f>VaR!BD17</f>
        <v>22.097808678389001</v>
      </c>
    </row>
    <row r="19" spans="2:18" x14ac:dyDescent="0.25">
      <c r="B19" s="31" t="str">
        <f>VaR!AU18</f>
        <v>$/gal</v>
      </c>
      <c r="C19" s="40" t="str">
        <f>VaR!AV18</f>
        <v>Ethanol</v>
      </c>
      <c r="D19" s="40">
        <f>VaR!AW18</f>
        <v>1.824093616594626E-3</v>
      </c>
      <c r="E19" s="32">
        <f>VaR!AX18</f>
        <v>1.1249486844742491E-2</v>
      </c>
      <c r="F19" s="31">
        <f>VaR!AY18</f>
        <v>1.8503759238463473E-2</v>
      </c>
      <c r="G19" s="32">
        <f>VaR!AZ18</f>
        <v>2.6170219804857661E-2</v>
      </c>
      <c r="H19" s="36">
        <f>VaR!BA18</f>
        <v>3.8098959967940021E-2</v>
      </c>
      <c r="I19" s="37">
        <f>VaR!BB18</f>
        <v>5.3884086138826004E-2</v>
      </c>
      <c r="J19" s="36">
        <f>VaR!BC18</f>
        <v>12.75553179726632</v>
      </c>
      <c r="K19" s="37">
        <f>VaR!BD18</f>
        <v>18.040392039278945</v>
      </c>
    </row>
    <row r="20" spans="2:18" x14ac:dyDescent="0.25">
      <c r="B20" s="31" t="str">
        <f>VaR!AU19</f>
        <v>$/gal</v>
      </c>
      <c r="C20" s="40" t="str">
        <f>VaR!AV19</f>
        <v>Heating Oil</v>
      </c>
      <c r="D20" s="40">
        <f>VaR!AW19</f>
        <v>4.6007421599975062E-3</v>
      </c>
      <c r="E20" s="32">
        <f>VaR!AX19</f>
        <v>2.4186073066337056E-2</v>
      </c>
      <c r="F20" s="31">
        <f>VaR!AY19</f>
        <v>3.978255000605152E-2</v>
      </c>
      <c r="G20" s="32">
        <f>VaR!AZ19</f>
        <v>5.6265219658281872E-2</v>
      </c>
      <c r="H20" s="36">
        <f>VaR!BA19</f>
        <v>0.16411619908305969</v>
      </c>
      <c r="I20" s="37">
        <f>VaR!BB19</f>
        <v>0.23211267225167911</v>
      </c>
      <c r="J20" s="36">
        <f>VaR!BC19</f>
        <v>51.02372629492325</v>
      </c>
      <c r="K20" s="37">
        <f>VaR!BD19</f>
        <v>72.163829803047037</v>
      </c>
      <c r="R20" t="s">
        <v>639</v>
      </c>
    </row>
    <row r="21" spans="2:18" x14ac:dyDescent="0.25">
      <c r="B21" s="31" t="str">
        <f>VaR!AU20</f>
        <v>$/MT</v>
      </c>
      <c r="C21" s="40" t="str">
        <f>VaR!AV20</f>
        <v>ICE GO</v>
      </c>
      <c r="D21" s="40">
        <f>VaR!AW20</f>
        <v>5.5420811263124483E-3</v>
      </c>
      <c r="E21" s="32">
        <f>VaR!AX20</f>
        <v>2.6631239935538318E-2</v>
      </c>
      <c r="F21" s="31">
        <f>VaR!AY20</f>
        <v>4.3804491599477448E-2</v>
      </c>
      <c r="G21" s="32">
        <f>VaR!AZ20</f>
        <v>6.1953528406023459E-2</v>
      </c>
      <c r="H21" s="36">
        <f>VaR!BA20</f>
        <v>53.286937067871968</v>
      </c>
      <c r="I21" s="37">
        <f>VaR!BB20</f>
        <v>75.36473198889432</v>
      </c>
      <c r="J21" s="36">
        <f>VaR!BC20</f>
        <v>53.286937067871968</v>
      </c>
      <c r="K21" s="37">
        <f>VaR!BD20</f>
        <v>75.36473198889432</v>
      </c>
    </row>
    <row r="22" spans="2:18" x14ac:dyDescent="0.25">
      <c r="B22" s="31" t="str">
        <f>VaR!AU21</f>
        <v>$/bl</v>
      </c>
      <c r="C22" s="40" t="str">
        <f>VaR!AV21</f>
        <v>Light Crude</v>
      </c>
      <c r="D22" s="40">
        <f>VaR!AW21</f>
        <v>3.7615329815705052E-3</v>
      </c>
      <c r="E22" s="32">
        <f>VaR!AX21</f>
        <v>2.2116392074770903E-2</v>
      </c>
      <c r="F22" s="31">
        <f>VaR!AY21</f>
        <v>3.6378227720340973E-2</v>
      </c>
      <c r="G22" s="32">
        <f>VaR!AZ21</f>
        <v>5.1450421683693744E-2</v>
      </c>
      <c r="H22" s="36">
        <f>VaR!BA21</f>
        <v>3.0421331819706259</v>
      </c>
      <c r="I22" s="37">
        <f>VaR!BB21</f>
        <v>4.3025470133837143</v>
      </c>
      <c r="J22" s="36">
        <f>VaR!BC21</f>
        <v>22.755156201140284</v>
      </c>
      <c r="K22" s="37">
        <f>VaR!BD21</f>
        <v>32.183051660110188</v>
      </c>
    </row>
    <row r="23" spans="2:18" x14ac:dyDescent="0.25">
      <c r="B23" s="31" t="str">
        <f>VaR!AU22</f>
        <v>$/bl</v>
      </c>
      <c r="C23" s="40" t="str">
        <f>VaR!AV22</f>
        <v>Brent Crude</v>
      </c>
      <c r="D23" s="40">
        <f>VaR!AW22</f>
        <v>4.2874950037586641E-3</v>
      </c>
      <c r="E23" s="32">
        <f>VaR!AX22</f>
        <v>2.1319156231136043E-2</v>
      </c>
      <c r="F23" s="31">
        <f>VaR!AY22</f>
        <v>3.5066891451363769E-2</v>
      </c>
      <c r="G23" s="32">
        <f>VaR!AZ22</f>
        <v>4.9595773773777191E-2</v>
      </c>
      <c r="H23" s="36">
        <f>VaR!BA22</f>
        <v>3.0826223805925741</v>
      </c>
      <c r="I23" s="37">
        <f>VaR!BB22</f>
        <v>4.3598116596646896</v>
      </c>
      <c r="J23" s="36">
        <f>VaR!BC22</f>
        <v>23.058015406832457</v>
      </c>
      <c r="K23" s="37">
        <f>VaR!BD22</f>
        <v>32.611391214291878</v>
      </c>
    </row>
    <row r="24" spans="2:18" x14ac:dyDescent="0.25">
      <c r="B24" s="33" t="str">
        <f>VaR!AU23</f>
        <v>$/bl</v>
      </c>
      <c r="C24" s="41" t="str">
        <f>VaR!AV23</f>
        <v>RBOB</v>
      </c>
      <c r="D24" s="41">
        <f>VaR!AW23</f>
        <v>2.836047862275942E-3</v>
      </c>
      <c r="E24" s="34">
        <f>VaR!AX23</f>
        <v>2.0465027316133977E-2</v>
      </c>
      <c r="F24" s="33">
        <f>VaR!AY23</f>
        <v>3.3661974407597051E-2</v>
      </c>
      <c r="G24" s="34">
        <f>VaR!AZ23</f>
        <v>4.7608772788240203E-2</v>
      </c>
      <c r="H24" s="38">
        <f>VaR!BA23</f>
        <v>9.4097820595314352E-2</v>
      </c>
      <c r="I24" s="39">
        <f>VaR!BB23</f>
        <v>0.13308434337053807</v>
      </c>
      <c r="J24" s="38">
        <f>VaR!BC23</f>
        <v>32.934237208360024</v>
      </c>
      <c r="K24" s="39">
        <f>VaR!BD23</f>
        <v>46.579520179688323</v>
      </c>
    </row>
  </sheetData>
  <conditionalFormatting sqref="D4:D2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E24">
    <cfRule type="colorScale" priority="2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3291B-B171-4F03-9C8B-35F849C379E0}">
  <sheetPr codeName="Sheet2"/>
  <dimension ref="A1:BK156"/>
  <sheetViews>
    <sheetView zoomScaleNormal="100" workbookViewId="0">
      <selection activeCell="H34" sqref="H34"/>
    </sheetView>
  </sheetViews>
  <sheetFormatPr defaultRowHeight="15" x14ac:dyDescent="0.25"/>
  <cols>
    <col min="1" max="11" width="11.28515625" customWidth="1"/>
    <col min="12" max="12" width="11.28515625" style="3" customWidth="1"/>
    <col min="13" max="14" width="11.28515625" customWidth="1"/>
    <col min="15" max="15" width="11.28515625" style="3" customWidth="1"/>
    <col min="16" max="17" width="11.28515625" customWidth="1"/>
    <col min="18" max="18" width="11.28515625" style="3" customWidth="1"/>
    <col min="19" max="20" width="11.28515625" customWidth="1"/>
    <col min="21" max="21" width="11.28515625" style="3" customWidth="1"/>
    <col min="22" max="23" width="11.28515625" customWidth="1"/>
    <col min="24" max="24" width="11.28515625" style="3" customWidth="1"/>
    <col min="25" max="26" width="11.28515625" customWidth="1"/>
    <col min="27" max="27" width="11.28515625" style="3" customWidth="1"/>
    <col min="28" max="29" width="11.28515625" customWidth="1"/>
    <col min="30" max="30" width="11.28515625" style="3" customWidth="1"/>
    <col min="31" max="32" width="11.28515625" customWidth="1"/>
    <col min="33" max="33" width="11.28515625" style="3" customWidth="1"/>
    <col min="34" max="35" width="11.28515625" customWidth="1"/>
    <col min="36" max="36" width="11.28515625" style="3" customWidth="1"/>
    <col min="37" max="38" width="11.28515625" customWidth="1"/>
    <col min="39" max="39" width="11.28515625" style="3" customWidth="1"/>
    <col min="40" max="41" width="11.28515625" customWidth="1"/>
    <col min="42" max="42" width="11.28515625" style="3" customWidth="1"/>
    <col min="43" max="44" width="11.28515625" customWidth="1"/>
    <col min="45" max="45" width="11.28515625" style="3" customWidth="1"/>
    <col min="46" max="47" width="11.28515625" customWidth="1"/>
    <col min="48" max="48" width="11.28515625" style="3" customWidth="1"/>
    <col min="49" max="50" width="11.28515625" customWidth="1"/>
    <col min="51" max="51" width="11.28515625" style="3" customWidth="1"/>
    <col min="52" max="53" width="11.28515625" customWidth="1"/>
    <col min="54" max="54" width="11.28515625" style="3" customWidth="1"/>
    <col min="55" max="56" width="11.28515625" customWidth="1"/>
    <col min="57" max="57" width="11.28515625" style="3" customWidth="1"/>
    <col min="63" max="63" width="10.28515625" bestFit="1" customWidth="1"/>
  </cols>
  <sheetData>
    <row r="1" spans="1:63" x14ac:dyDescent="0.25">
      <c r="B1" t="str">
        <f>_xlfn.XLOOKUP(MAX(C3:C101), C3:C101, B3:B101)</f>
        <v>/WZ26</v>
      </c>
      <c r="E1" t="str">
        <f>_xlfn.XLOOKUP(MAX(F3:F101), F3:F101, E3:E101)</f>
        <v>/KWZ26</v>
      </c>
      <c r="H1" t="str">
        <f>_xlfn.XLOOKUP(MAX(I3:I101), I3:I101, H3:H101)</f>
        <v>/MWEZ26</v>
      </c>
      <c r="K1" t="str">
        <f>_xlfn.XLOOKUP(MAX(L3:L101), L3:L101, K3:K101)</f>
        <v>/CZ26</v>
      </c>
      <c r="N1" t="str">
        <f>_xlfn.XLOOKUP(MAX(O3:O101), O3:O101, N3:N101)</f>
        <v>/SF27</v>
      </c>
      <c r="Q1" t="str">
        <f>_xlfn.XLOOKUP(MAX(R3:R101), R3:R101, Q3:Q101)</f>
        <v>/SMZ26</v>
      </c>
      <c r="T1" t="str">
        <f>_xlfn.XLOOKUP(MAX(U3:U101), U3:U101, T3:T101)</f>
        <v>/BOZ26</v>
      </c>
      <c r="W1" t="str">
        <f>_xlfn.XLOOKUP(MAX(X4:X102), X4:X102, W4:W102)</f>
        <v>/FCPOF27</v>
      </c>
      <c r="Z1" t="str">
        <f>_xlfn.XLOOKUP(MAX(AA3:AA101), AA3:AA101, Z3:Z101)</f>
        <v>/DCPF7</v>
      </c>
      <c r="AC1" t="str">
        <f>_xlfn.XLOOKUP(MAX(AD3:AD101), AD3:AD101, AC3:AC101)</f>
        <v>/DSMF7</v>
      </c>
      <c r="AF1" t="str">
        <f>_xlfn.XLOOKUP(MAX(AG3:AG101), AG3:AG101, AF3:AF101)</f>
        <v>/DBYF7</v>
      </c>
      <c r="AI1" t="str">
        <f>_xlfn.XLOOKUP(MAX(AJ3:AJ101), AJ3:AJ101, AI3:AI101)</f>
        <v>/CRSMF7</v>
      </c>
      <c r="AL1" t="str">
        <f>_xlfn.XLOOKUP(MAX(AM3:AM101), AM3:AM101, AL3:AL101)</f>
        <v>/COIF7</v>
      </c>
      <c r="AO1" t="str">
        <f>_xlfn.XLOOKUP(MAX(AP3:AP101), AP3:AP101, AO3:AO101)</f>
        <v>/COMG7</v>
      </c>
      <c r="AR1" t="str">
        <f>_xlfn.XLOOKUP(MAX(AS3:AS101), AS3:AS101, AR3:AR101)</f>
        <v>/RSF7</v>
      </c>
      <c r="AU1" t="str">
        <f>_xlfn.XLOOKUP(MAX(AV3:AV101), AV3:AV101, AU3:AU101)</f>
        <v>/CUUV26</v>
      </c>
      <c r="AX1" t="str">
        <f>_xlfn.XLOOKUP(MAX(AY3:AY101), AY3:AY101, AX3:AX101)</f>
        <v>/HOZ26</v>
      </c>
      <c r="BA1" t="str">
        <f>_xlfn.XLOOKUP(MAX(BB4:BB102), BB4:BB102, BA4:BA102)</f>
        <v>/LGOZ6</v>
      </c>
      <c r="BD1" t="str">
        <f>_xlfn.XLOOKUP(MAX(BE3:BE101), BE3:BE101, BD3:BD101)</f>
        <v>/CLZ26</v>
      </c>
      <c r="BG1" t="str">
        <f>_xlfn.XLOOKUP(MAX(BH3:BH101), BH3:BH101, BG3:BG101)</f>
        <v>/RBZ26</v>
      </c>
      <c r="BJ1" t="str">
        <f>_xlfn.XLOOKUP(MAX(BK4:BK102), BK4:BK102, BJ4:BJ102)</f>
        <v>/LCOF7</v>
      </c>
    </row>
    <row r="3" spans="1:63" x14ac:dyDescent="0.25">
      <c r="A3" t="s">
        <v>33</v>
      </c>
      <c r="B3" t="str">
        <f>_xll.TR(A3,B2)</f>
        <v>/WZ26</v>
      </c>
      <c r="C3" s="3">
        <f>_xll.TR(B3:B15,"TR.OPENINTEREST",C2)</f>
        <v>248802</v>
      </c>
      <c r="D3" t="s">
        <v>42</v>
      </c>
      <c r="E3" t="str">
        <f>_xll.TR(D3,E2)</f>
        <v>/KWZ26</v>
      </c>
      <c r="F3" s="3">
        <f>_xll.TR(E3:E27,"TR.OPENINTEREST",F2)</f>
        <v>146164</v>
      </c>
      <c r="G3" t="s">
        <v>51</v>
      </c>
      <c r="H3" t="str">
        <f>_xll.TR(G3,H2)</f>
        <v>/MWEZ26</v>
      </c>
      <c r="I3" s="3">
        <f>_xll.TR(H3:H27,"TR.OPENINTEREST",I2)</f>
        <v>44066</v>
      </c>
      <c r="J3" t="s">
        <v>0</v>
      </c>
      <c r="K3" t="str">
        <f>_xll.TR(J3,K2)</f>
        <v>/CZ26</v>
      </c>
      <c r="L3" s="3">
        <f>_xll.TR(K3:K27,"TR.OPENINTEREST",L2)</f>
        <v>782965</v>
      </c>
      <c r="M3" t="s">
        <v>8</v>
      </c>
      <c r="N3" t="str">
        <f>_xll.TR(M3,N2)</f>
        <v>/SX26</v>
      </c>
      <c r="O3" s="3">
        <f>_xll.TR(N3:N27,"TR.OPENINTEREST",O2)</f>
        <v>191184</v>
      </c>
      <c r="P3" t="s">
        <v>61</v>
      </c>
      <c r="Q3" t="str">
        <f>_xll.TR(P3,Q2)</f>
        <v>/SMZ26</v>
      </c>
      <c r="R3" s="3">
        <f>_xll.TR(Q3:Q27,"TR.OPENINTEREST",R2)</f>
        <v>231259</v>
      </c>
      <c r="S3" t="s">
        <v>73</v>
      </c>
      <c r="T3" t="str">
        <f>_xll.TR(S3,T2)</f>
        <v>/BOZ26</v>
      </c>
      <c r="U3" s="3">
        <f>_xll.TR(T3:T27,"TR.OPENINTEREST",U2)</f>
        <v>202072</v>
      </c>
      <c r="V3" t="s">
        <v>19</v>
      </c>
      <c r="W3" t="str">
        <f>_xll.TR(V3,W2)</f>
        <v>/FCPO-TOT</v>
      </c>
      <c r="X3" s="3">
        <f>_xll.TR(W3:W27,"TR.OPENINTEREST",X2)</f>
        <v>342738</v>
      </c>
      <c r="Y3" t="s">
        <v>368</v>
      </c>
      <c r="Z3" t="str">
        <f>_xll.TR(Y3,Z2)</f>
        <v>/DCPX6</v>
      </c>
      <c r="AA3" s="3">
        <f>_xll.TR(Z3:Z27,"TR.OPENINTEREST",AA2)</f>
        <v>27873</v>
      </c>
      <c r="AB3" t="s">
        <v>85</v>
      </c>
      <c r="AC3" t="str">
        <f>_xll.TR(AB3,AC2)</f>
        <v>/DSMX6</v>
      </c>
      <c r="AD3" s="3">
        <f>_xll.TR(AC3:AC27,"TR.OPENINTEREST",AD2)</f>
        <v>197055</v>
      </c>
      <c r="AE3" t="s">
        <v>87</v>
      </c>
      <c r="AF3" t="str">
        <f>_xll.TR(AE3,AF2)</f>
        <v>/DBYX6</v>
      </c>
      <c r="AG3" s="3">
        <f>_xll.TR(AF3:AF27,"TR.OPENINTEREST",AG2)</f>
        <v>72868</v>
      </c>
      <c r="AH3" t="s">
        <v>89</v>
      </c>
      <c r="AI3" t="str">
        <f>_xll.TR(AH3,AI2)</f>
        <v>/CRSMX6</v>
      </c>
      <c r="AJ3" s="3">
        <f>_xll.TR(AI3:AI27,"TR.OPENINTEREST",AJ2)</f>
        <v>16974</v>
      </c>
      <c r="AK3" t="s">
        <v>91</v>
      </c>
      <c r="AL3" t="str">
        <f>_xll.TR(AK3,AL2)</f>
        <v>/COIX6</v>
      </c>
      <c r="AM3" s="3">
        <f>_xll.TR(AL3:AL27,"TR.OPENINTEREST",AM2)</f>
        <v>14740</v>
      </c>
      <c r="AN3" t="s">
        <v>93</v>
      </c>
      <c r="AO3" t="str">
        <f>_xll.TR(AN3,AO2)</f>
        <v>/COMX6</v>
      </c>
      <c r="AP3" s="3">
        <f>_xll.TR(AO3:AO27,"TR.OPENINTEREST",AP2)</f>
        <v>4363</v>
      </c>
      <c r="AQ3" t="s">
        <v>100</v>
      </c>
      <c r="AR3" t="str">
        <f>_xll.TR(AQ3,AR2)</f>
        <v>/RSX6</v>
      </c>
      <c r="AS3" s="3">
        <f>_xll.TR(AR3:AR27,"TR.OPENINTEREST",AS2)</f>
        <v>56219</v>
      </c>
      <c r="AT3" t="s">
        <v>107</v>
      </c>
      <c r="AU3" t="str">
        <f>_xll.TR(AT3,AU2)</f>
        <v>/CUUV26</v>
      </c>
      <c r="AV3" s="3">
        <f>_xll.TR(AU3:AU27,"TR.OPENINTEREST",AV2)</f>
        <v>8455</v>
      </c>
      <c r="AW3" t="s">
        <v>133</v>
      </c>
      <c r="AX3" t="str">
        <f>_xll.TR(AW3,AX2)</f>
        <v>/HOX26</v>
      </c>
      <c r="AY3" s="3">
        <f>_xll.TR(AX3:AX27,"TR.OPENINTEREST",AY2)</f>
        <v>26757</v>
      </c>
      <c r="AZ3" t="s">
        <v>160</v>
      </c>
      <c r="BA3" t="str">
        <f>_xll.TR(AZ3,BA2)</f>
        <v>/LGOTOT</v>
      </c>
      <c r="BB3" s="3">
        <f>_xll.TR(BA3:BA27,"TR.OPENINTEREST",BB2)</f>
        <v>718887</v>
      </c>
      <c r="BC3" t="s">
        <v>224</v>
      </c>
      <c r="BD3" t="str">
        <f>_xll.TR(BC3,BD2)</f>
        <v>/CLZ26</v>
      </c>
      <c r="BE3" s="3">
        <f>_xll.TR(BD3:BD27,"TR.OPENINTEREST",BE2)</f>
        <v>312676</v>
      </c>
      <c r="BF3" t="s">
        <v>478</v>
      </c>
      <c r="BG3" t="str">
        <f>_xll.TR(BF3,BG2)</f>
        <v>/RBX26</v>
      </c>
      <c r="BH3" s="3">
        <f>_xll.TR(BG3:BG27,"TR.OPENINTEREST",BH2)</f>
        <v>31505</v>
      </c>
      <c r="BI3" t="s">
        <v>541</v>
      </c>
      <c r="BJ3" t="str">
        <f>_xll.TR(BI3,BJ2)</f>
        <v>/LCOTOT</v>
      </c>
      <c r="BK3" s="3">
        <f>_xll.TR(BJ3:BJ27,"TR.OPENINTEREST",BK2)</f>
        <v>2623750</v>
      </c>
    </row>
    <row r="4" spans="1:63" x14ac:dyDescent="0.25">
      <c r="B4" s="1" t="s">
        <v>34</v>
      </c>
      <c r="C4" s="3">
        <v>136249</v>
      </c>
      <c r="E4" s="1" t="s">
        <v>43</v>
      </c>
      <c r="F4" s="3">
        <v>90754</v>
      </c>
      <c r="H4" s="1" t="s">
        <v>52</v>
      </c>
      <c r="I4">
        <v>21172</v>
      </c>
      <c r="K4" s="1" t="s">
        <v>1</v>
      </c>
      <c r="L4" s="3">
        <v>436845</v>
      </c>
      <c r="N4" s="1" t="s">
        <v>10</v>
      </c>
      <c r="O4" s="3">
        <v>331274</v>
      </c>
      <c r="Q4" s="1" t="s">
        <v>62</v>
      </c>
      <c r="R4" s="3">
        <v>158202</v>
      </c>
      <c r="T4" s="1" t="s">
        <v>74</v>
      </c>
      <c r="U4" s="3">
        <v>126000</v>
      </c>
      <c r="W4" s="1" t="s">
        <v>21</v>
      </c>
      <c r="X4" s="3">
        <v>8506</v>
      </c>
      <c r="Z4" s="1" t="s">
        <v>475</v>
      </c>
      <c r="AA4" s="3">
        <v>37917</v>
      </c>
      <c r="AC4" s="1" t="s">
        <v>473</v>
      </c>
      <c r="AD4" s="3">
        <v>299087</v>
      </c>
      <c r="AF4" s="1" t="s">
        <v>474</v>
      </c>
      <c r="AG4" s="3">
        <v>106390</v>
      </c>
      <c r="AI4" s="1" t="s">
        <v>538</v>
      </c>
      <c r="AJ4" s="3">
        <v>683596</v>
      </c>
      <c r="AL4" s="1" t="s">
        <v>537</v>
      </c>
      <c r="AM4" s="3">
        <v>374965</v>
      </c>
      <c r="AO4" s="1" t="s">
        <v>94</v>
      </c>
      <c r="AP4" s="3">
        <v>108130</v>
      </c>
      <c r="AR4" s="1" t="s">
        <v>102</v>
      </c>
      <c r="AS4" s="3">
        <v>158886</v>
      </c>
      <c r="AU4" s="1" t="s">
        <v>109</v>
      </c>
      <c r="AV4" s="3">
        <v>7912</v>
      </c>
      <c r="AX4" s="1" t="s">
        <v>134</v>
      </c>
      <c r="AY4" s="3">
        <v>67258</v>
      </c>
      <c r="BA4" s="1" t="s">
        <v>162</v>
      </c>
      <c r="BB4" s="3">
        <v>112300</v>
      </c>
      <c r="BD4" s="1" t="s">
        <v>226</v>
      </c>
      <c r="BE4" s="3">
        <v>171998</v>
      </c>
      <c r="BG4" s="1" t="s">
        <v>480</v>
      </c>
      <c r="BH4">
        <v>107980</v>
      </c>
      <c r="BI4" s="1"/>
      <c r="BJ4" s="1" t="s">
        <v>543</v>
      </c>
      <c r="BK4">
        <v>371648</v>
      </c>
    </row>
    <row r="5" spans="1:63" x14ac:dyDescent="0.25">
      <c r="B5" s="1" t="s">
        <v>35</v>
      </c>
      <c r="C5" s="3">
        <v>50668</v>
      </c>
      <c r="E5" s="1" t="s">
        <v>44</v>
      </c>
      <c r="F5" s="3">
        <v>34249</v>
      </c>
      <c r="H5" s="1" t="s">
        <v>53</v>
      </c>
      <c r="I5">
        <v>4866</v>
      </c>
      <c r="K5" s="1" t="s">
        <v>2</v>
      </c>
      <c r="L5" s="3">
        <v>187222</v>
      </c>
      <c r="N5" s="1" t="s">
        <v>11</v>
      </c>
      <c r="O5" s="3">
        <v>199474</v>
      </c>
      <c r="Q5" s="1" t="s">
        <v>63</v>
      </c>
      <c r="R5" s="3">
        <v>115067</v>
      </c>
      <c r="T5" s="1" t="s">
        <v>75</v>
      </c>
      <c r="U5" s="3">
        <v>86329</v>
      </c>
      <c r="W5" s="1" t="s">
        <v>476</v>
      </c>
      <c r="X5" s="3">
        <v>50806</v>
      </c>
      <c r="Z5" s="1" t="s">
        <v>536</v>
      </c>
      <c r="AA5" s="3">
        <v>554091</v>
      </c>
      <c r="AC5" s="1" t="s">
        <v>535</v>
      </c>
      <c r="AD5" s="3">
        <v>2249050</v>
      </c>
      <c r="AF5" s="1" t="s">
        <v>534</v>
      </c>
      <c r="AG5" s="3">
        <v>536750</v>
      </c>
      <c r="AI5" s="1" t="s">
        <v>629</v>
      </c>
      <c r="AJ5" s="3">
        <v>255496</v>
      </c>
      <c r="AL5" s="1" t="s">
        <v>631</v>
      </c>
      <c r="AM5" s="3">
        <v>88115</v>
      </c>
      <c r="AO5" s="1" t="s">
        <v>95</v>
      </c>
      <c r="AP5" s="3">
        <v>28814</v>
      </c>
      <c r="AR5" s="1" t="s">
        <v>103</v>
      </c>
      <c r="AS5" s="3">
        <v>63775</v>
      </c>
      <c r="AU5" s="1" t="s">
        <v>110</v>
      </c>
      <c r="AV5" s="3">
        <v>7702</v>
      </c>
      <c r="AX5" s="1" t="s">
        <v>135</v>
      </c>
      <c r="AY5" s="3">
        <v>43321</v>
      </c>
      <c r="BA5" s="1" t="s">
        <v>163</v>
      </c>
      <c r="BB5" s="3">
        <v>155578</v>
      </c>
      <c r="BD5" s="1" t="s">
        <v>227</v>
      </c>
      <c r="BE5" s="3">
        <v>86797</v>
      </c>
      <c r="BG5" s="1" t="s">
        <v>481</v>
      </c>
      <c r="BH5">
        <v>60260</v>
      </c>
      <c r="BI5" s="1"/>
      <c r="BJ5" s="1" t="s">
        <v>544</v>
      </c>
      <c r="BK5">
        <v>544488</v>
      </c>
    </row>
    <row r="6" spans="1:63" x14ac:dyDescent="0.25">
      <c r="B6" s="1" t="s">
        <v>36</v>
      </c>
      <c r="C6" s="3">
        <v>63921</v>
      </c>
      <c r="E6" s="1" t="s">
        <v>45</v>
      </c>
      <c r="F6" s="3">
        <v>37748</v>
      </c>
      <c r="H6" s="1" t="s">
        <v>54</v>
      </c>
      <c r="I6">
        <v>1839</v>
      </c>
      <c r="K6" s="1" t="s">
        <v>3</v>
      </c>
      <c r="L6" s="3">
        <v>200777</v>
      </c>
      <c r="N6" s="1" t="s">
        <v>12</v>
      </c>
      <c r="O6" s="3">
        <v>117781</v>
      </c>
      <c r="Q6" s="1" t="s">
        <v>64</v>
      </c>
      <c r="R6" s="3">
        <v>54105</v>
      </c>
      <c r="T6" s="1" t="s">
        <v>76</v>
      </c>
      <c r="U6" s="3">
        <v>64272</v>
      </c>
      <c r="W6" s="1" t="s">
        <v>22</v>
      </c>
      <c r="X6" s="3">
        <v>70502</v>
      </c>
      <c r="Z6" s="1" t="s">
        <v>623</v>
      </c>
      <c r="AA6" s="3">
        <v>37802</v>
      </c>
      <c r="AC6" s="1" t="s">
        <v>633</v>
      </c>
      <c r="AD6" s="3">
        <v>471970</v>
      </c>
      <c r="AF6" s="1" t="s">
        <v>630</v>
      </c>
      <c r="AG6" s="3">
        <v>116946</v>
      </c>
      <c r="AI6" s="1" t="s">
        <v>716</v>
      </c>
      <c r="AJ6" s="3">
        <v>173623</v>
      </c>
      <c r="AL6" s="1" t="s">
        <v>719</v>
      </c>
      <c r="AM6" s="3">
        <v>72105</v>
      </c>
      <c r="AO6" s="1" t="s">
        <v>96</v>
      </c>
      <c r="AP6" s="3">
        <v>15087</v>
      </c>
      <c r="AR6" s="1" t="s">
        <v>104</v>
      </c>
      <c r="AS6" s="3">
        <v>26341</v>
      </c>
      <c r="AU6" s="1" t="s">
        <v>111</v>
      </c>
      <c r="AV6" s="3">
        <v>4923</v>
      </c>
      <c r="AX6" s="1" t="s">
        <v>136</v>
      </c>
      <c r="AY6" s="3">
        <v>22538</v>
      </c>
      <c r="BA6" s="1" t="s">
        <v>164</v>
      </c>
      <c r="BB6" s="3">
        <v>104040</v>
      </c>
      <c r="BD6" s="1" t="s">
        <v>228</v>
      </c>
      <c r="BE6" s="3">
        <v>103728</v>
      </c>
      <c r="BG6" s="1" t="s">
        <v>482</v>
      </c>
      <c r="BH6">
        <v>28839</v>
      </c>
      <c r="BI6" s="1"/>
      <c r="BJ6" s="1" t="s">
        <v>545</v>
      </c>
      <c r="BK6">
        <v>222199</v>
      </c>
    </row>
    <row r="7" spans="1:63" x14ac:dyDescent="0.25">
      <c r="B7" s="1" t="s">
        <v>37</v>
      </c>
      <c r="C7" s="3">
        <v>11368</v>
      </c>
      <c r="E7" s="1" t="s">
        <v>46</v>
      </c>
      <c r="F7" s="3">
        <v>8493</v>
      </c>
      <c r="H7" s="1" t="s">
        <v>55</v>
      </c>
      <c r="I7">
        <v>2073</v>
      </c>
      <c r="K7" s="1" t="s">
        <v>4</v>
      </c>
      <c r="L7" s="3">
        <v>74052</v>
      </c>
      <c r="N7" s="1" t="s">
        <v>13</v>
      </c>
      <c r="O7" s="3">
        <v>112701</v>
      </c>
      <c r="Q7" s="1" t="s">
        <v>65</v>
      </c>
      <c r="R7" s="3">
        <v>40065</v>
      </c>
      <c r="T7" s="1" t="s">
        <v>77</v>
      </c>
      <c r="U7" s="3">
        <v>64252</v>
      </c>
      <c r="W7" s="1" t="s">
        <v>624</v>
      </c>
      <c r="X7" s="3">
        <v>30486</v>
      </c>
      <c r="Z7" s="1" t="s">
        <v>627</v>
      </c>
      <c r="AA7" s="3">
        <v>38741</v>
      </c>
      <c r="AC7" s="1" t="s">
        <v>718</v>
      </c>
      <c r="AD7" s="3">
        <v>901528</v>
      </c>
      <c r="AF7" s="1" t="s">
        <v>717</v>
      </c>
      <c r="AG7" s="3">
        <v>281604</v>
      </c>
      <c r="AI7" s="1" t="s">
        <v>732</v>
      </c>
      <c r="AJ7" s="3">
        <v>18458</v>
      </c>
      <c r="AL7" s="1" t="s">
        <v>742</v>
      </c>
      <c r="AM7" s="3">
        <v>976</v>
      </c>
      <c r="AO7" s="1" t="s">
        <v>97</v>
      </c>
      <c r="AP7" s="3">
        <v>2558</v>
      </c>
      <c r="AR7" s="1" t="s">
        <v>105</v>
      </c>
      <c r="AS7" s="3">
        <v>10094</v>
      </c>
      <c r="AU7" s="1" t="s">
        <v>112</v>
      </c>
      <c r="AV7" s="3">
        <v>3735</v>
      </c>
      <c r="AX7" s="1" t="s">
        <v>137</v>
      </c>
      <c r="AY7" s="3">
        <v>23372</v>
      </c>
      <c r="BA7" s="1" t="s">
        <v>165</v>
      </c>
      <c r="BB7" s="3">
        <v>45147</v>
      </c>
      <c r="BD7" s="1" t="s">
        <v>229</v>
      </c>
      <c r="BE7" s="3">
        <v>58852</v>
      </c>
      <c r="BG7" s="1" t="s">
        <v>483</v>
      </c>
      <c r="BH7">
        <v>33156</v>
      </c>
      <c r="BI7" s="1"/>
      <c r="BJ7" s="1" t="s">
        <v>546</v>
      </c>
      <c r="BK7">
        <v>181192</v>
      </c>
    </row>
    <row r="8" spans="1:63" x14ac:dyDescent="0.25">
      <c r="B8" s="1" t="s">
        <v>38</v>
      </c>
      <c r="C8" s="3">
        <v>13277</v>
      </c>
      <c r="E8" s="1" t="s">
        <v>47</v>
      </c>
      <c r="F8" s="3">
        <v>4511</v>
      </c>
      <c r="H8" s="1" t="s">
        <v>56</v>
      </c>
      <c r="I8">
        <v>538</v>
      </c>
      <c r="K8" s="1" t="s">
        <v>5</v>
      </c>
      <c r="L8" s="3">
        <v>125718</v>
      </c>
      <c r="N8" s="1" t="s">
        <v>14</v>
      </c>
      <c r="O8" s="3">
        <v>9858</v>
      </c>
      <c r="Q8" s="1" t="s">
        <v>66</v>
      </c>
      <c r="R8" s="3">
        <v>6794</v>
      </c>
      <c r="T8" s="1" t="s">
        <v>78</v>
      </c>
      <c r="U8" s="3">
        <v>7748</v>
      </c>
      <c r="W8" s="1" t="s">
        <v>23</v>
      </c>
      <c r="X8" s="3">
        <v>33084</v>
      </c>
      <c r="Z8" s="1" t="s">
        <v>636</v>
      </c>
      <c r="AA8" s="3">
        <v>5901</v>
      </c>
      <c r="AC8" s="1" t="s">
        <v>743</v>
      </c>
      <c r="AD8" s="3">
        <v>271927</v>
      </c>
      <c r="AF8" s="1" t="s">
        <v>733</v>
      </c>
      <c r="AG8" s="3">
        <v>56280</v>
      </c>
      <c r="AI8" s="1" t="s">
        <v>748</v>
      </c>
      <c r="AJ8" s="3">
        <v>1555</v>
      </c>
      <c r="AL8" s="1" t="s">
        <v>754</v>
      </c>
      <c r="AM8" s="3">
        <v>2406</v>
      </c>
      <c r="AO8" s="1" t="s">
        <v>98</v>
      </c>
      <c r="AP8" s="3">
        <v>668</v>
      </c>
      <c r="AR8" s="1" t="s">
        <v>723</v>
      </c>
      <c r="AS8" s="4" t="s">
        <v>430</v>
      </c>
      <c r="AU8" s="1" t="s">
        <v>113</v>
      </c>
      <c r="AV8" s="3">
        <v>3262</v>
      </c>
      <c r="AX8" s="1" t="s">
        <v>138</v>
      </c>
      <c r="AY8" s="3">
        <v>10744</v>
      </c>
      <c r="BA8" s="1" t="s">
        <v>166</v>
      </c>
      <c r="BB8" s="3">
        <v>56946</v>
      </c>
      <c r="BD8" s="1" t="s">
        <v>230</v>
      </c>
      <c r="BE8" s="3">
        <v>48837</v>
      </c>
      <c r="BG8" s="1" t="s">
        <v>484</v>
      </c>
      <c r="BH8">
        <v>19246</v>
      </c>
      <c r="BI8" s="1"/>
      <c r="BJ8" s="1" t="s">
        <v>547</v>
      </c>
      <c r="BK8">
        <v>83677</v>
      </c>
    </row>
    <row r="9" spans="1:63" x14ac:dyDescent="0.25">
      <c r="B9" s="1" t="s">
        <v>39</v>
      </c>
      <c r="C9" s="3">
        <v>1168</v>
      </c>
      <c r="E9" s="1" t="s">
        <v>48</v>
      </c>
      <c r="F9" s="3">
        <v>351</v>
      </c>
      <c r="H9" s="1" t="s">
        <v>57</v>
      </c>
      <c r="I9" s="1" t="s">
        <v>430</v>
      </c>
      <c r="K9" s="1" t="s">
        <v>466</v>
      </c>
      <c r="L9" s="3">
        <v>10285</v>
      </c>
      <c r="N9" s="1" t="s">
        <v>15</v>
      </c>
      <c r="O9" s="3">
        <v>7502</v>
      </c>
      <c r="Q9" s="1" t="s">
        <v>67</v>
      </c>
      <c r="R9" s="3">
        <v>4269</v>
      </c>
      <c r="T9" s="1" t="s">
        <v>79</v>
      </c>
      <c r="U9" s="3">
        <v>3910</v>
      </c>
      <c r="W9" s="1" t="s">
        <v>635</v>
      </c>
      <c r="X9" s="3">
        <v>27583</v>
      </c>
      <c r="Z9" s="1" t="s">
        <v>715</v>
      </c>
      <c r="AA9" s="3">
        <v>370699</v>
      </c>
      <c r="AC9" s="1" t="s">
        <v>747</v>
      </c>
      <c r="AD9" s="3">
        <v>85830</v>
      </c>
      <c r="AF9" s="1" t="s">
        <v>749</v>
      </c>
      <c r="AG9" s="3">
        <v>30526</v>
      </c>
      <c r="AI9" s="1" t="s">
        <v>752</v>
      </c>
      <c r="AJ9" s="4">
        <v>5417</v>
      </c>
      <c r="AL9" s="1"/>
      <c r="AM9" s="4"/>
      <c r="AO9" s="1" t="s">
        <v>99</v>
      </c>
      <c r="AP9" s="3">
        <v>0</v>
      </c>
      <c r="AR9" s="1" t="s">
        <v>106</v>
      </c>
      <c r="AS9" s="3">
        <v>9755</v>
      </c>
      <c r="AU9" s="1" t="s">
        <v>114</v>
      </c>
      <c r="AV9" s="3">
        <v>1883</v>
      </c>
      <c r="AX9" s="1" t="s">
        <v>139</v>
      </c>
      <c r="AY9" s="3">
        <v>7394</v>
      </c>
      <c r="BA9" s="1" t="s">
        <v>167</v>
      </c>
      <c r="BB9" s="3">
        <v>32412</v>
      </c>
      <c r="BD9" s="1" t="s">
        <v>231</v>
      </c>
      <c r="BE9" s="3">
        <v>127919</v>
      </c>
      <c r="BG9" s="1" t="s">
        <v>485</v>
      </c>
      <c r="BH9">
        <v>12927</v>
      </c>
      <c r="BI9" s="1"/>
      <c r="BJ9" s="1" t="s">
        <v>548</v>
      </c>
      <c r="BK9">
        <v>83349</v>
      </c>
    </row>
    <row r="10" spans="1:63" x14ac:dyDescent="0.25">
      <c r="B10" s="1" t="s">
        <v>40</v>
      </c>
      <c r="C10" s="3">
        <v>234</v>
      </c>
      <c r="E10" s="1" t="s">
        <v>49</v>
      </c>
      <c r="F10" s="3">
        <v>78</v>
      </c>
      <c r="H10" s="1" t="s">
        <v>58</v>
      </c>
      <c r="I10" s="1" t="s">
        <v>430</v>
      </c>
      <c r="K10" s="1" t="s">
        <v>467</v>
      </c>
      <c r="L10" s="3">
        <v>3852</v>
      </c>
      <c r="N10" s="1" t="s">
        <v>16</v>
      </c>
      <c r="O10" s="3">
        <v>69056</v>
      </c>
      <c r="Q10" s="1" t="s">
        <v>68</v>
      </c>
      <c r="R10" s="3">
        <v>3196</v>
      </c>
      <c r="T10" s="1" t="s">
        <v>80</v>
      </c>
      <c r="U10" s="3">
        <v>3598</v>
      </c>
      <c r="W10" s="1" t="s">
        <v>24</v>
      </c>
      <c r="X10" s="3">
        <v>40031</v>
      </c>
      <c r="Z10" s="1" t="s">
        <v>721</v>
      </c>
      <c r="AA10" s="3">
        <v>222</v>
      </c>
      <c r="AC10" s="1" t="s">
        <v>756</v>
      </c>
      <c r="AD10" s="4">
        <v>87969</v>
      </c>
      <c r="AF10" s="1" t="s">
        <v>755</v>
      </c>
      <c r="AG10" s="4">
        <v>7909</v>
      </c>
      <c r="AI10" s="1"/>
      <c r="AJ10" s="4"/>
      <c r="AL10" s="1"/>
      <c r="AM10" s="4"/>
      <c r="AO10" s="1" t="s">
        <v>539</v>
      </c>
      <c r="AP10" s="3">
        <v>0</v>
      </c>
      <c r="AR10" s="1" t="s">
        <v>429</v>
      </c>
      <c r="AS10" s="3">
        <v>366</v>
      </c>
      <c r="AU10" s="1" t="s">
        <v>115</v>
      </c>
      <c r="AV10" s="3">
        <v>661</v>
      </c>
      <c r="AX10" s="1" t="s">
        <v>140</v>
      </c>
      <c r="AY10" s="3">
        <v>22094</v>
      </c>
      <c r="BA10" s="1" t="s">
        <v>168</v>
      </c>
      <c r="BB10" s="3">
        <v>25781</v>
      </c>
      <c r="BD10" s="1" t="s">
        <v>232</v>
      </c>
      <c r="BE10" s="3">
        <v>47314</v>
      </c>
      <c r="BG10" s="1" t="s">
        <v>486</v>
      </c>
      <c r="BH10">
        <v>17524</v>
      </c>
      <c r="BI10" s="1"/>
      <c r="BJ10" s="1" t="s">
        <v>549</v>
      </c>
      <c r="BK10">
        <v>162710</v>
      </c>
    </row>
    <row r="11" spans="1:63" x14ac:dyDescent="0.25">
      <c r="B11" s="1" t="s">
        <v>41</v>
      </c>
      <c r="C11" s="3">
        <v>765</v>
      </c>
      <c r="E11" s="1" t="s">
        <v>50</v>
      </c>
      <c r="F11" s="3">
        <v>159</v>
      </c>
      <c r="H11" s="1" t="s">
        <v>59</v>
      </c>
      <c r="I11" s="1" t="s">
        <v>430</v>
      </c>
      <c r="K11" s="1" t="s">
        <v>6</v>
      </c>
      <c r="L11" s="3">
        <v>4328</v>
      </c>
      <c r="N11" s="1" t="s">
        <v>421</v>
      </c>
      <c r="O11" s="3">
        <v>6233</v>
      </c>
      <c r="Q11" s="1" t="s">
        <v>69</v>
      </c>
      <c r="R11" s="3">
        <v>8815</v>
      </c>
      <c r="T11" s="1" t="s">
        <v>81</v>
      </c>
      <c r="U11" s="3">
        <v>12075</v>
      </c>
      <c r="W11" s="1" t="s">
        <v>722</v>
      </c>
      <c r="X11" s="3">
        <v>17393</v>
      </c>
      <c r="Z11" s="1" t="s">
        <v>735</v>
      </c>
      <c r="AA11" s="3">
        <v>818</v>
      </c>
      <c r="AC11" s="1"/>
      <c r="AD11" s="4"/>
      <c r="AF11" s="1"/>
      <c r="AG11" s="4"/>
      <c r="AI11" s="1"/>
      <c r="AJ11" s="4"/>
      <c r="AL11" s="1"/>
      <c r="AM11" s="4"/>
      <c r="AO11" s="1" t="s">
        <v>638</v>
      </c>
      <c r="AP11" s="3">
        <v>0</v>
      </c>
      <c r="AR11" s="1" t="s">
        <v>533</v>
      </c>
      <c r="AS11" s="4" t="s">
        <v>430</v>
      </c>
      <c r="AU11" s="1" t="s">
        <v>116</v>
      </c>
      <c r="AV11" s="3">
        <v>1405</v>
      </c>
      <c r="AX11" s="1" t="s">
        <v>141</v>
      </c>
      <c r="AY11" s="3">
        <v>5430</v>
      </c>
      <c r="BA11" s="1" t="s">
        <v>169</v>
      </c>
      <c r="BB11" s="3">
        <v>35717</v>
      </c>
      <c r="BD11" s="1" t="s">
        <v>233</v>
      </c>
      <c r="BE11" s="3">
        <v>41354</v>
      </c>
      <c r="BG11" s="1" t="s">
        <v>487</v>
      </c>
      <c r="BH11">
        <v>8389</v>
      </c>
      <c r="BI11" s="1"/>
      <c r="BJ11" s="1" t="s">
        <v>550</v>
      </c>
      <c r="BK11">
        <v>54700</v>
      </c>
    </row>
    <row r="12" spans="1:63" x14ac:dyDescent="0.25">
      <c r="B12" s="1" t="s">
        <v>726</v>
      </c>
      <c r="C12" s="3">
        <v>42</v>
      </c>
      <c r="E12" s="1" t="s">
        <v>736</v>
      </c>
      <c r="F12" s="3">
        <v>4</v>
      </c>
      <c r="H12" s="1" t="s">
        <v>60</v>
      </c>
      <c r="I12" s="1" t="s">
        <v>430</v>
      </c>
      <c r="K12" s="1" t="s">
        <v>468</v>
      </c>
      <c r="L12" s="3">
        <v>1293</v>
      </c>
      <c r="N12" s="1" t="s">
        <v>422</v>
      </c>
      <c r="O12" s="3">
        <v>3436</v>
      </c>
      <c r="Q12" s="1" t="s">
        <v>461</v>
      </c>
      <c r="R12" s="3">
        <v>761</v>
      </c>
      <c r="T12" s="1" t="s">
        <v>456</v>
      </c>
      <c r="U12" s="3">
        <v>485</v>
      </c>
      <c r="W12" s="1" t="s">
        <v>25</v>
      </c>
      <c r="X12" s="3">
        <v>18441</v>
      </c>
      <c r="Z12" s="1" t="s">
        <v>746</v>
      </c>
      <c r="AA12" s="3">
        <v>387</v>
      </c>
      <c r="AC12" s="1"/>
      <c r="AD12" s="4"/>
      <c r="AF12" s="1"/>
      <c r="AG12" s="4"/>
      <c r="AI12" s="1"/>
      <c r="AJ12" s="4"/>
      <c r="AL12" s="1"/>
      <c r="AM12" s="4"/>
      <c r="AO12" s="1" t="s">
        <v>741</v>
      </c>
      <c r="AP12" s="4">
        <v>0</v>
      </c>
      <c r="AR12" s="1" t="s">
        <v>632</v>
      </c>
      <c r="AS12" s="4" t="s">
        <v>430</v>
      </c>
      <c r="AU12" s="1" t="s">
        <v>117</v>
      </c>
      <c r="AV12" s="3">
        <v>589</v>
      </c>
      <c r="AX12" s="1" t="s">
        <v>142</v>
      </c>
      <c r="AY12" s="3">
        <v>3824</v>
      </c>
      <c r="BA12" s="1" t="s">
        <v>170</v>
      </c>
      <c r="BB12" s="3">
        <v>19038</v>
      </c>
      <c r="BD12" s="1" t="s">
        <v>234</v>
      </c>
      <c r="BE12" s="3">
        <v>55034</v>
      </c>
      <c r="BG12" s="1" t="s">
        <v>488</v>
      </c>
      <c r="BH12">
        <v>3133</v>
      </c>
      <c r="BI12" s="1"/>
      <c r="BJ12" s="1" t="s">
        <v>551</v>
      </c>
      <c r="BK12">
        <v>54050</v>
      </c>
    </row>
    <row r="13" spans="1:63" x14ac:dyDescent="0.25">
      <c r="B13" s="1" t="s">
        <v>727</v>
      </c>
      <c r="C13" s="4">
        <v>595</v>
      </c>
      <c r="E13" s="1" t="s">
        <v>737</v>
      </c>
      <c r="F13" s="4">
        <v>2</v>
      </c>
      <c r="H13" s="1" t="s">
        <v>477</v>
      </c>
      <c r="I13" s="1" t="s">
        <v>430</v>
      </c>
      <c r="K13" s="1" t="s">
        <v>7</v>
      </c>
      <c r="L13" s="3">
        <v>3872</v>
      </c>
      <c r="N13" s="1" t="s">
        <v>423</v>
      </c>
      <c r="O13" s="3">
        <v>920</v>
      </c>
      <c r="Q13" s="1" t="s">
        <v>462</v>
      </c>
      <c r="R13" s="3">
        <v>519</v>
      </c>
      <c r="T13" s="1" t="s">
        <v>457</v>
      </c>
      <c r="U13" s="3">
        <v>238</v>
      </c>
      <c r="W13" s="1" t="s">
        <v>745</v>
      </c>
      <c r="X13" s="3">
        <v>9030</v>
      </c>
      <c r="Z13" s="1" t="s">
        <v>753</v>
      </c>
      <c r="AA13" s="3">
        <v>69597</v>
      </c>
      <c r="AC13" s="1"/>
      <c r="AD13" s="4"/>
      <c r="AF13" s="1"/>
      <c r="AG13" s="4"/>
      <c r="AI13" s="1"/>
      <c r="AJ13" s="4"/>
      <c r="AL13" s="1"/>
      <c r="AM13" s="4"/>
      <c r="AO13" s="1"/>
      <c r="AP13" s="4"/>
      <c r="AR13" s="1" t="s">
        <v>712</v>
      </c>
      <c r="AS13" s="4" t="s">
        <v>430</v>
      </c>
      <c r="AU13" s="1" t="s">
        <v>118</v>
      </c>
      <c r="AV13" s="4">
        <v>156</v>
      </c>
      <c r="AX13" s="1" t="s">
        <v>143</v>
      </c>
      <c r="AY13" s="3">
        <v>4327</v>
      </c>
      <c r="BA13" s="1" t="s">
        <v>171</v>
      </c>
      <c r="BB13" s="3">
        <v>15340</v>
      </c>
      <c r="BD13" s="1" t="s">
        <v>235</v>
      </c>
      <c r="BE13" s="3">
        <v>42130</v>
      </c>
      <c r="BG13" s="1" t="s">
        <v>489</v>
      </c>
      <c r="BH13">
        <v>3213</v>
      </c>
      <c r="BI13" s="1"/>
      <c r="BJ13" s="1" t="s">
        <v>552</v>
      </c>
      <c r="BK13">
        <v>72109</v>
      </c>
    </row>
    <row r="14" spans="1:63" x14ac:dyDescent="0.25">
      <c r="B14" s="1" t="s">
        <v>728</v>
      </c>
      <c r="C14" s="4">
        <v>3</v>
      </c>
      <c r="E14" s="1" t="s">
        <v>738</v>
      </c>
      <c r="F14" s="4" t="s">
        <v>430</v>
      </c>
      <c r="H14" s="1" t="s">
        <v>626</v>
      </c>
      <c r="I14" s="1" t="s">
        <v>430</v>
      </c>
      <c r="K14" s="1" t="s">
        <v>469</v>
      </c>
      <c r="L14" s="3">
        <v>12</v>
      </c>
      <c r="N14" s="1" t="s">
        <v>17</v>
      </c>
      <c r="O14" s="3">
        <v>964</v>
      </c>
      <c r="Q14" s="1" t="s">
        <v>463</v>
      </c>
      <c r="R14" s="3">
        <v>379</v>
      </c>
      <c r="T14" s="1" t="s">
        <v>458</v>
      </c>
      <c r="U14" s="3">
        <v>134</v>
      </c>
      <c r="W14" s="1" t="s">
        <v>26</v>
      </c>
      <c r="X14" s="3">
        <v>17635</v>
      </c>
      <c r="Z14" s="1" t="s">
        <v>760</v>
      </c>
      <c r="AA14" s="4">
        <v>2</v>
      </c>
      <c r="AC14" s="1"/>
      <c r="AD14" s="4"/>
      <c r="AF14" s="1"/>
      <c r="AG14" s="4"/>
      <c r="AI14" s="1"/>
      <c r="AJ14" s="4"/>
      <c r="AL14" s="1"/>
      <c r="AM14" s="4"/>
      <c r="AO14" s="1"/>
      <c r="AP14" s="4"/>
      <c r="AR14" s="1" t="s">
        <v>725</v>
      </c>
      <c r="AS14" s="4" t="s">
        <v>430</v>
      </c>
      <c r="AU14" s="1" t="s">
        <v>119</v>
      </c>
      <c r="AV14" s="4">
        <v>375</v>
      </c>
      <c r="AX14" s="1" t="s">
        <v>144</v>
      </c>
      <c r="AY14" s="3">
        <v>3052</v>
      </c>
      <c r="BA14" s="1" t="s">
        <v>172</v>
      </c>
      <c r="BB14" s="3">
        <v>17775</v>
      </c>
      <c r="BD14" s="1" t="s">
        <v>236</v>
      </c>
      <c r="BE14" s="3">
        <v>48387</v>
      </c>
      <c r="BG14" s="1" t="s">
        <v>490</v>
      </c>
      <c r="BH14">
        <v>2236</v>
      </c>
      <c r="BI14" s="1"/>
      <c r="BJ14" s="1" t="s">
        <v>553</v>
      </c>
      <c r="BK14">
        <v>44509</v>
      </c>
    </row>
    <row r="15" spans="1:63" x14ac:dyDescent="0.25">
      <c r="B15" s="1" t="s">
        <v>729</v>
      </c>
      <c r="C15" s="4">
        <v>2</v>
      </c>
      <c r="E15" s="1" t="s">
        <v>739</v>
      </c>
      <c r="F15" s="4" t="s">
        <v>430</v>
      </c>
      <c r="H15" s="1" t="s">
        <v>714</v>
      </c>
      <c r="I15" s="1" t="s">
        <v>430</v>
      </c>
      <c r="K15" s="1" t="s">
        <v>470</v>
      </c>
      <c r="L15" s="3">
        <v>117</v>
      </c>
      <c r="N15" s="1" t="s">
        <v>424</v>
      </c>
      <c r="O15" s="3">
        <v>13</v>
      </c>
      <c r="Q15" s="1" t="s">
        <v>70</v>
      </c>
      <c r="R15" s="3">
        <v>291</v>
      </c>
      <c r="T15" s="1" t="s">
        <v>82</v>
      </c>
      <c r="U15" s="3">
        <v>41</v>
      </c>
      <c r="W15" s="1" t="s">
        <v>759</v>
      </c>
      <c r="X15" s="4">
        <v>1254</v>
      </c>
      <c r="Z15" s="1"/>
      <c r="AA15" s="4"/>
      <c r="AC15" s="1"/>
      <c r="AD15" s="4"/>
      <c r="AF15" s="1"/>
      <c r="AG15" s="4"/>
      <c r="AI15" s="1"/>
      <c r="AJ15" s="4"/>
      <c r="AL15" s="1"/>
      <c r="AM15" s="4"/>
      <c r="AO15" s="1"/>
      <c r="AP15" s="4"/>
      <c r="AR15" s="1"/>
      <c r="AS15" s="4"/>
      <c r="AU15" s="1" t="s">
        <v>120</v>
      </c>
      <c r="AV15" s="4">
        <v>146</v>
      </c>
      <c r="AX15" s="1" t="s">
        <v>145</v>
      </c>
      <c r="AY15" s="3">
        <v>2914</v>
      </c>
      <c r="BA15" s="1" t="s">
        <v>173</v>
      </c>
      <c r="BB15" s="3">
        <v>11428</v>
      </c>
      <c r="BD15" s="1" t="s">
        <v>237</v>
      </c>
      <c r="BE15" s="3">
        <v>188435</v>
      </c>
      <c r="BG15" s="1" t="s">
        <v>491</v>
      </c>
      <c r="BH15">
        <v>1846</v>
      </c>
      <c r="BI15" s="1"/>
      <c r="BJ15" s="1" t="s">
        <v>554</v>
      </c>
      <c r="BK15">
        <v>42182</v>
      </c>
    </row>
    <row r="16" spans="1:63" x14ac:dyDescent="0.25">
      <c r="B16" s="1" t="s">
        <v>730</v>
      </c>
      <c r="E16" s="1" t="s">
        <v>740</v>
      </c>
      <c r="F16" s="1" t="s">
        <v>430</v>
      </c>
      <c r="H16" s="1" t="s">
        <v>744</v>
      </c>
      <c r="I16" s="1" t="s">
        <v>430</v>
      </c>
      <c r="K16" s="1"/>
      <c r="L16" s="4">
        <v>91</v>
      </c>
      <c r="N16" s="1" t="s">
        <v>425</v>
      </c>
      <c r="O16" s="3">
        <v>20</v>
      </c>
      <c r="Q16" s="1" t="s">
        <v>464</v>
      </c>
      <c r="R16" s="3">
        <v>127</v>
      </c>
      <c r="T16" s="1" t="s">
        <v>459</v>
      </c>
      <c r="U16" s="3">
        <v>5</v>
      </c>
      <c r="W16" s="1" t="s">
        <v>27</v>
      </c>
      <c r="X16" s="3">
        <v>10793</v>
      </c>
      <c r="Z16" s="1"/>
      <c r="AA16" s="4"/>
      <c r="AC16" s="1"/>
      <c r="AD16" s="4"/>
      <c r="AF16" s="1"/>
      <c r="AG16" s="4"/>
      <c r="AI16" s="1"/>
      <c r="AJ16" s="4"/>
      <c r="AL16" s="1"/>
      <c r="AM16" s="4"/>
      <c r="AO16" s="1"/>
      <c r="AP16" s="4"/>
      <c r="AR16" s="1"/>
      <c r="AS16" s="4"/>
      <c r="AU16" s="1" t="s">
        <v>121</v>
      </c>
      <c r="AV16" s="4">
        <v>138</v>
      </c>
      <c r="AX16" s="1" t="s">
        <v>146</v>
      </c>
      <c r="AY16" s="3">
        <v>11311</v>
      </c>
      <c r="BA16" s="1" t="s">
        <v>174</v>
      </c>
      <c r="BB16" s="3">
        <v>9197</v>
      </c>
      <c r="BD16" s="1" t="s">
        <v>238</v>
      </c>
      <c r="BE16" s="3">
        <v>40100</v>
      </c>
      <c r="BG16" s="1" t="s">
        <v>492</v>
      </c>
      <c r="BH16">
        <v>5884</v>
      </c>
      <c r="BI16" s="1"/>
      <c r="BJ16" s="1" t="s">
        <v>555</v>
      </c>
      <c r="BK16">
        <v>189513</v>
      </c>
    </row>
    <row r="17" spans="2:63" x14ac:dyDescent="0.25">
      <c r="B17" s="1"/>
      <c r="E17" s="1"/>
      <c r="F17" s="1" t="s">
        <v>430</v>
      </c>
      <c r="H17" s="1" t="s">
        <v>758</v>
      </c>
      <c r="I17" s="1" t="s">
        <v>430</v>
      </c>
      <c r="K17" s="1"/>
      <c r="L17" s="4">
        <v>58</v>
      </c>
      <c r="N17" s="1" t="s">
        <v>18</v>
      </c>
      <c r="O17" s="3">
        <v>305</v>
      </c>
      <c r="Q17" s="1" t="s">
        <v>465</v>
      </c>
      <c r="R17" s="3">
        <v>139</v>
      </c>
      <c r="T17" s="1" t="s">
        <v>460</v>
      </c>
      <c r="U17" s="4">
        <v>10</v>
      </c>
      <c r="W17" s="1" t="s">
        <v>28</v>
      </c>
      <c r="X17" s="3">
        <v>1818</v>
      </c>
      <c r="Z17" s="1"/>
      <c r="AA17" s="4"/>
      <c r="AC17" s="1"/>
      <c r="AD17" s="4"/>
      <c r="AF17" s="1"/>
      <c r="AG17" s="4"/>
      <c r="AI17" s="1"/>
      <c r="AJ17" s="4"/>
      <c r="AL17" s="1"/>
      <c r="AM17" s="4"/>
      <c r="AO17" s="1"/>
      <c r="AP17" s="4"/>
      <c r="AR17" s="1"/>
      <c r="AS17" s="4"/>
      <c r="AU17" s="1" t="s">
        <v>122</v>
      </c>
      <c r="AV17" s="4">
        <v>243</v>
      </c>
      <c r="AX17" s="1" t="s">
        <v>147</v>
      </c>
      <c r="AY17" s="3">
        <v>2086</v>
      </c>
      <c r="BA17" s="1" t="s">
        <v>175</v>
      </c>
      <c r="BB17" s="3">
        <v>36676</v>
      </c>
      <c r="BD17" s="1" t="s">
        <v>239</v>
      </c>
      <c r="BE17" s="3">
        <v>23216</v>
      </c>
      <c r="BG17" s="1" t="s">
        <v>493</v>
      </c>
      <c r="BH17">
        <v>1748</v>
      </c>
      <c r="BI17" s="1"/>
      <c r="BJ17" s="1" t="s">
        <v>556</v>
      </c>
      <c r="BK17">
        <v>42459</v>
      </c>
    </row>
    <row r="18" spans="2:63" x14ac:dyDescent="0.25">
      <c r="E18" s="1"/>
      <c r="H18" s="1"/>
      <c r="I18" s="1"/>
      <c r="K18" s="1"/>
      <c r="L18" s="4">
        <v>17</v>
      </c>
      <c r="N18" s="1" t="s">
        <v>426</v>
      </c>
      <c r="O18" s="4">
        <v>4</v>
      </c>
      <c r="Q18" s="1" t="s">
        <v>71</v>
      </c>
      <c r="R18" s="4">
        <v>128</v>
      </c>
      <c r="T18" s="1" t="s">
        <v>83</v>
      </c>
      <c r="U18" s="4">
        <v>1</v>
      </c>
      <c r="W18" s="1" t="s">
        <v>29</v>
      </c>
      <c r="X18" s="3">
        <v>1459</v>
      </c>
      <c r="Z18" s="1"/>
      <c r="AA18" s="4"/>
      <c r="AC18" s="1"/>
      <c r="AD18" s="4"/>
      <c r="AF18" s="1"/>
      <c r="AG18" s="4"/>
      <c r="AI18" s="1"/>
      <c r="AJ18" s="4"/>
      <c r="AL18" s="1"/>
      <c r="AM18" s="4"/>
      <c r="AO18" s="1"/>
      <c r="AP18" s="4"/>
      <c r="AR18" s="1"/>
      <c r="AS18" s="4"/>
      <c r="AU18" s="1" t="s">
        <v>123</v>
      </c>
      <c r="AV18" s="4" t="s">
        <v>430</v>
      </c>
      <c r="AX18" s="1" t="s">
        <v>148</v>
      </c>
      <c r="AY18" s="3">
        <v>414</v>
      </c>
      <c r="BA18" s="1" t="s">
        <v>176</v>
      </c>
      <c r="BB18" s="3">
        <v>7448</v>
      </c>
      <c r="BD18" s="1" t="s">
        <v>240</v>
      </c>
      <c r="BE18" s="3">
        <v>29892</v>
      </c>
      <c r="BG18" s="1" t="s">
        <v>494</v>
      </c>
      <c r="BH18">
        <v>289</v>
      </c>
      <c r="BI18" s="1"/>
      <c r="BJ18" s="1" t="s">
        <v>557</v>
      </c>
      <c r="BK18">
        <v>38866</v>
      </c>
    </row>
    <row r="19" spans="2:63" x14ac:dyDescent="0.25">
      <c r="E19" s="1"/>
      <c r="H19" s="1"/>
      <c r="I19" s="1"/>
      <c r="K19" s="1"/>
      <c r="L19" s="3">
        <v>14</v>
      </c>
      <c r="N19" s="1" t="s">
        <v>427</v>
      </c>
      <c r="O19" s="4">
        <v>12</v>
      </c>
      <c r="Q19" s="1" t="s">
        <v>72</v>
      </c>
      <c r="R19" s="4">
        <v>62</v>
      </c>
      <c r="T19" s="1" t="s">
        <v>84</v>
      </c>
      <c r="U19" s="4">
        <v>27</v>
      </c>
      <c r="W19" s="1" t="s">
        <v>30</v>
      </c>
      <c r="X19" s="4">
        <v>66</v>
      </c>
      <c r="Z19" s="1"/>
      <c r="AA19" s="4"/>
      <c r="AC19" s="1"/>
      <c r="AD19" s="4"/>
      <c r="AF19" s="1"/>
      <c r="AG19" s="4"/>
      <c r="AI19" s="1"/>
      <c r="AJ19" s="4"/>
      <c r="AL19" s="1"/>
      <c r="AM19" s="4"/>
      <c r="AO19" s="1"/>
      <c r="AP19" s="4"/>
      <c r="AR19" s="1"/>
      <c r="AS19" s="4"/>
      <c r="AU19" s="1" t="s">
        <v>124</v>
      </c>
      <c r="AV19" s="4" t="s">
        <v>430</v>
      </c>
      <c r="AX19" s="1" t="s">
        <v>149</v>
      </c>
      <c r="AY19" s="3">
        <v>736</v>
      </c>
      <c r="BA19" s="1" t="s">
        <v>177</v>
      </c>
      <c r="BB19" s="3">
        <v>2914</v>
      </c>
      <c r="BD19" s="1" t="s">
        <v>241</v>
      </c>
      <c r="BE19" s="3">
        <v>26391</v>
      </c>
      <c r="BG19" s="1" t="s">
        <v>495</v>
      </c>
      <c r="BH19">
        <v>391</v>
      </c>
      <c r="BI19" s="1"/>
      <c r="BJ19" s="1" t="s">
        <v>558</v>
      </c>
      <c r="BK19">
        <v>28418</v>
      </c>
    </row>
    <row r="20" spans="2:63" x14ac:dyDescent="0.25">
      <c r="K20" s="1"/>
      <c r="L20" s="4" t="s">
        <v>430</v>
      </c>
      <c r="N20" s="1"/>
      <c r="O20" s="4">
        <v>8</v>
      </c>
      <c r="Q20" s="1"/>
      <c r="R20" s="4">
        <v>60</v>
      </c>
      <c r="T20" s="1"/>
      <c r="U20" s="4">
        <v>27</v>
      </c>
      <c r="W20" s="1" t="s">
        <v>31</v>
      </c>
      <c r="X20" s="4">
        <v>1</v>
      </c>
      <c r="Z20" s="1"/>
      <c r="AA20" s="4"/>
      <c r="AC20" s="1"/>
      <c r="AD20" s="4"/>
      <c r="AF20" s="1"/>
      <c r="AG20" s="4"/>
      <c r="AI20" s="1"/>
      <c r="AJ20" s="4"/>
      <c r="AL20" s="1"/>
      <c r="AM20" s="4"/>
      <c r="AO20" s="1"/>
      <c r="AP20" s="4"/>
      <c r="AR20" s="1"/>
      <c r="AS20" s="4"/>
      <c r="AU20" s="1" t="s">
        <v>125</v>
      </c>
      <c r="AV20" s="4" t="s">
        <v>430</v>
      </c>
      <c r="AX20" s="1" t="s">
        <v>150</v>
      </c>
      <c r="AY20" s="3">
        <v>246</v>
      </c>
      <c r="BA20" s="1" t="s">
        <v>178</v>
      </c>
      <c r="BB20" s="3">
        <v>5629</v>
      </c>
      <c r="BD20" s="1" t="s">
        <v>242</v>
      </c>
      <c r="BE20" s="3">
        <v>13419</v>
      </c>
      <c r="BG20" s="1" t="s">
        <v>496</v>
      </c>
      <c r="BH20">
        <v>118</v>
      </c>
      <c r="BI20" s="1"/>
      <c r="BJ20" s="1" t="s">
        <v>559</v>
      </c>
      <c r="BK20">
        <v>8150</v>
      </c>
    </row>
    <row r="21" spans="2:63" x14ac:dyDescent="0.25">
      <c r="N21" s="1"/>
      <c r="O21" s="4">
        <v>4</v>
      </c>
      <c r="Q21" s="1"/>
      <c r="R21" s="4" t="s">
        <v>430</v>
      </c>
      <c r="T21" s="1"/>
      <c r="U21" s="4" t="s">
        <v>430</v>
      </c>
      <c r="W21" s="1" t="s">
        <v>32</v>
      </c>
      <c r="X21" s="4">
        <v>0</v>
      </c>
      <c r="Z21" s="1"/>
      <c r="AA21" s="4"/>
      <c r="AC21" s="1"/>
      <c r="AD21" s="4"/>
      <c r="AF21" s="1"/>
      <c r="AG21" s="4"/>
      <c r="AI21" s="1"/>
      <c r="AJ21" s="4"/>
      <c r="AL21" s="1"/>
      <c r="AM21" s="4"/>
      <c r="AO21" s="1"/>
      <c r="AP21" s="4"/>
      <c r="AR21" s="1"/>
      <c r="AS21" s="4"/>
      <c r="AU21" s="1" t="s">
        <v>126</v>
      </c>
      <c r="AV21" s="4" t="s">
        <v>430</v>
      </c>
      <c r="AX21" s="1" t="s">
        <v>151</v>
      </c>
      <c r="AY21" s="3">
        <v>137</v>
      </c>
      <c r="BA21" s="1" t="s">
        <v>179</v>
      </c>
      <c r="BB21" s="3">
        <v>1678</v>
      </c>
      <c r="BD21" s="1" t="s">
        <v>243</v>
      </c>
      <c r="BE21" s="3">
        <v>56719</v>
      </c>
      <c r="BG21" s="1" t="s">
        <v>497</v>
      </c>
      <c r="BH21">
        <v>27</v>
      </c>
      <c r="BI21" s="1"/>
      <c r="BJ21" s="1" t="s">
        <v>560</v>
      </c>
      <c r="BK21">
        <v>10127</v>
      </c>
    </row>
    <row r="22" spans="2:63" x14ac:dyDescent="0.25">
      <c r="N22" s="1"/>
      <c r="O22" s="4">
        <v>4</v>
      </c>
      <c r="Q22" s="1"/>
      <c r="R22" s="4" t="s">
        <v>430</v>
      </c>
      <c r="T22" s="1"/>
      <c r="U22" s="4" t="s">
        <v>430</v>
      </c>
      <c r="W22" s="1" t="s">
        <v>428</v>
      </c>
      <c r="X22" s="4" t="s">
        <v>430</v>
      </c>
      <c r="Z22" s="1"/>
      <c r="AA22" s="4"/>
      <c r="AC22" s="1"/>
      <c r="AD22" s="4"/>
      <c r="AF22" s="1"/>
      <c r="AG22" s="4"/>
      <c r="AI22" s="1"/>
      <c r="AJ22" s="4"/>
      <c r="AL22" s="1"/>
      <c r="AM22" s="4"/>
      <c r="AO22" s="1"/>
      <c r="AP22" s="4"/>
      <c r="AR22" s="1"/>
      <c r="AS22" s="4"/>
      <c r="AU22" s="1" t="s">
        <v>127</v>
      </c>
      <c r="AV22" s="4" t="s">
        <v>430</v>
      </c>
      <c r="AX22" s="1" t="s">
        <v>152</v>
      </c>
      <c r="AY22" s="3">
        <v>989</v>
      </c>
      <c r="BA22" s="1" t="s">
        <v>180</v>
      </c>
      <c r="BB22" s="3">
        <v>792</v>
      </c>
      <c r="BD22" s="1" t="s">
        <v>244</v>
      </c>
      <c r="BE22" s="3">
        <v>13506</v>
      </c>
      <c r="BG22" s="1" t="s">
        <v>498</v>
      </c>
      <c r="BH22">
        <v>264</v>
      </c>
      <c r="BI22" s="1"/>
      <c r="BJ22" s="1" t="s">
        <v>561</v>
      </c>
      <c r="BK22">
        <v>85122</v>
      </c>
    </row>
    <row r="23" spans="2:63" x14ac:dyDescent="0.25">
      <c r="N23" s="1"/>
      <c r="O23" s="4">
        <v>2</v>
      </c>
      <c r="Q23" s="1"/>
      <c r="R23" s="4" t="s">
        <v>430</v>
      </c>
      <c r="T23" s="1"/>
      <c r="U23" s="4" t="s">
        <v>430</v>
      </c>
      <c r="W23" s="1" t="s">
        <v>532</v>
      </c>
      <c r="X23" s="4" t="s">
        <v>430</v>
      </c>
      <c r="AU23" s="1" t="s">
        <v>128</v>
      </c>
      <c r="AV23" s="4" t="s">
        <v>430</v>
      </c>
      <c r="AX23" s="1" t="s">
        <v>153</v>
      </c>
      <c r="AY23" s="3">
        <v>110</v>
      </c>
      <c r="BA23" s="1" t="s">
        <v>181</v>
      </c>
      <c r="BB23" s="3">
        <v>7993</v>
      </c>
      <c r="BD23" s="1" t="s">
        <v>245</v>
      </c>
      <c r="BE23" s="3">
        <v>12527</v>
      </c>
      <c r="BG23" s="1" t="s">
        <v>499</v>
      </c>
      <c r="BH23">
        <v>14</v>
      </c>
      <c r="BI23" s="1"/>
      <c r="BJ23" s="1" t="s">
        <v>562</v>
      </c>
      <c r="BK23">
        <v>9595</v>
      </c>
    </row>
    <row r="24" spans="2:63" x14ac:dyDescent="0.25">
      <c r="N24" s="1"/>
      <c r="O24" s="3">
        <v>3</v>
      </c>
      <c r="Q24" s="1"/>
      <c r="R24" s="4" t="s">
        <v>430</v>
      </c>
      <c r="T24" s="1"/>
      <c r="U24" s="4" t="s">
        <v>430</v>
      </c>
      <c r="W24" s="1" t="s">
        <v>628</v>
      </c>
      <c r="X24" s="4" t="s">
        <v>430</v>
      </c>
      <c r="AU24" s="1" t="s">
        <v>129</v>
      </c>
      <c r="AV24" s="4" t="s">
        <v>430</v>
      </c>
      <c r="AX24" s="1" t="s">
        <v>154</v>
      </c>
      <c r="AY24" s="3">
        <v>93</v>
      </c>
      <c r="BA24" s="1" t="s">
        <v>182</v>
      </c>
      <c r="BB24" s="3">
        <v>781</v>
      </c>
      <c r="BD24" s="1" t="s">
        <v>246</v>
      </c>
      <c r="BE24" s="3">
        <v>23128</v>
      </c>
      <c r="BG24" s="1" t="s">
        <v>500</v>
      </c>
      <c r="BH24">
        <v>7</v>
      </c>
      <c r="BI24" s="1"/>
      <c r="BJ24" s="1" t="s">
        <v>563</v>
      </c>
      <c r="BK24">
        <v>7685</v>
      </c>
    </row>
    <row r="25" spans="2:63" x14ac:dyDescent="0.25">
      <c r="N25" s="1"/>
      <c r="O25" s="4" t="s">
        <v>430</v>
      </c>
      <c r="Q25" s="1"/>
      <c r="R25" s="4" t="s">
        <v>430</v>
      </c>
      <c r="T25" s="1"/>
      <c r="U25" s="4" t="s">
        <v>430</v>
      </c>
      <c r="W25" s="1" t="s">
        <v>713</v>
      </c>
      <c r="X25" s="4" t="s">
        <v>430</v>
      </c>
      <c r="AU25" s="1" t="s">
        <v>130</v>
      </c>
      <c r="AV25" s="4" t="s">
        <v>430</v>
      </c>
      <c r="AX25" s="1" t="s">
        <v>155</v>
      </c>
      <c r="AY25" s="3">
        <v>90</v>
      </c>
      <c r="BA25" s="1" t="s">
        <v>183</v>
      </c>
      <c r="BB25" s="3">
        <v>893</v>
      </c>
      <c r="BD25" s="1" t="s">
        <v>247</v>
      </c>
      <c r="BE25" s="3">
        <v>9126</v>
      </c>
      <c r="BG25" s="1" t="s">
        <v>501</v>
      </c>
      <c r="BH25">
        <v>7</v>
      </c>
      <c r="BI25" s="1"/>
      <c r="BJ25" s="1" t="s">
        <v>564</v>
      </c>
      <c r="BK25">
        <v>16389</v>
      </c>
    </row>
    <row r="26" spans="2:63" x14ac:dyDescent="0.25">
      <c r="Q26" s="1"/>
      <c r="R26" s="4" t="s">
        <v>430</v>
      </c>
      <c r="T26" s="1"/>
      <c r="U26" s="4" t="s">
        <v>430</v>
      </c>
      <c r="W26" s="1" t="s">
        <v>731</v>
      </c>
      <c r="X26" s="4" t="s">
        <v>430</v>
      </c>
      <c r="AU26" s="1" t="s">
        <v>131</v>
      </c>
      <c r="AV26" s="4" t="s">
        <v>430</v>
      </c>
      <c r="AX26" s="1" t="s">
        <v>156</v>
      </c>
      <c r="AY26" s="3">
        <v>84</v>
      </c>
      <c r="BA26" s="1" t="s">
        <v>184</v>
      </c>
      <c r="BB26" s="3">
        <v>717</v>
      </c>
      <c r="BD26" s="1" t="s">
        <v>248</v>
      </c>
      <c r="BE26" s="3">
        <v>15664</v>
      </c>
      <c r="BG26" s="1" t="s">
        <v>502</v>
      </c>
      <c r="BH26">
        <v>12</v>
      </c>
      <c r="BI26" s="1"/>
      <c r="BJ26" s="1" t="s">
        <v>565</v>
      </c>
      <c r="BK26">
        <v>7693</v>
      </c>
    </row>
    <row r="27" spans="2:63" x14ac:dyDescent="0.25">
      <c r="Q27" s="1"/>
      <c r="R27" s="4" t="s">
        <v>430</v>
      </c>
      <c r="T27" s="1"/>
      <c r="U27" s="4" t="s">
        <v>430</v>
      </c>
      <c r="W27" s="1" t="s">
        <v>751</v>
      </c>
      <c r="X27" s="4" t="s">
        <v>430</v>
      </c>
      <c r="AU27" s="1" t="s">
        <v>132</v>
      </c>
      <c r="AV27" s="4" t="s">
        <v>430</v>
      </c>
      <c r="AX27" s="1" t="s">
        <v>157</v>
      </c>
      <c r="AY27" s="3">
        <v>87</v>
      </c>
      <c r="BA27" s="1" t="s">
        <v>185</v>
      </c>
      <c r="BB27" s="3">
        <v>358</v>
      </c>
      <c r="BD27" s="1" t="s">
        <v>249</v>
      </c>
      <c r="BE27" s="3">
        <v>125491</v>
      </c>
      <c r="BG27" s="1" t="s">
        <v>503</v>
      </c>
      <c r="BH27">
        <v>13</v>
      </c>
      <c r="BI27" s="1"/>
      <c r="BJ27" s="1" t="s">
        <v>566</v>
      </c>
      <c r="BK27">
        <v>7986</v>
      </c>
    </row>
    <row r="28" spans="2:63" x14ac:dyDescent="0.25">
      <c r="Q28" s="1"/>
      <c r="T28" s="1"/>
      <c r="AU28" s="1" t="s">
        <v>443</v>
      </c>
      <c r="AX28" s="1" t="s">
        <v>158</v>
      </c>
      <c r="BA28" s="1" t="s">
        <v>186</v>
      </c>
      <c r="BD28" s="1" t="s">
        <v>250</v>
      </c>
      <c r="BG28" s="1" t="s">
        <v>504</v>
      </c>
      <c r="BI28" s="1"/>
      <c r="BJ28" s="1" t="s">
        <v>567</v>
      </c>
    </row>
    <row r="29" spans="2:63" x14ac:dyDescent="0.25">
      <c r="Q29" s="1"/>
      <c r="T29" s="1"/>
      <c r="AU29" s="1" t="s">
        <v>531</v>
      </c>
      <c r="AX29" s="1" t="s">
        <v>159</v>
      </c>
      <c r="BA29" s="1" t="s">
        <v>187</v>
      </c>
      <c r="BD29" s="1" t="s">
        <v>251</v>
      </c>
      <c r="BG29" s="1" t="s">
        <v>505</v>
      </c>
      <c r="BI29" s="1"/>
      <c r="BJ29" s="1" t="s">
        <v>568</v>
      </c>
    </row>
    <row r="30" spans="2:63" x14ac:dyDescent="0.25">
      <c r="Q30" s="1"/>
      <c r="T30" s="1"/>
      <c r="AU30" s="1" t="s">
        <v>540</v>
      </c>
      <c r="AX30" s="1" t="s">
        <v>444</v>
      </c>
      <c r="BA30" s="1" t="s">
        <v>188</v>
      </c>
      <c r="BD30" s="1" t="s">
        <v>252</v>
      </c>
      <c r="BG30" s="1" t="s">
        <v>506</v>
      </c>
      <c r="BI30" s="1"/>
      <c r="BJ30" s="1" t="s">
        <v>569</v>
      </c>
    </row>
    <row r="31" spans="2:63" x14ac:dyDescent="0.25">
      <c r="AU31" s="1" t="s">
        <v>625</v>
      </c>
      <c r="AX31" s="1" t="s">
        <v>445</v>
      </c>
      <c r="BA31" s="1" t="s">
        <v>189</v>
      </c>
      <c r="BD31" s="1" t="s">
        <v>253</v>
      </c>
      <c r="BG31" s="1" t="s">
        <v>507</v>
      </c>
      <c r="BI31" s="1"/>
      <c r="BJ31" s="1" t="s">
        <v>570</v>
      </c>
    </row>
    <row r="32" spans="2:63" x14ac:dyDescent="0.25">
      <c r="AU32" s="1" t="s">
        <v>634</v>
      </c>
      <c r="AX32" s="1" t="s">
        <v>446</v>
      </c>
      <c r="BA32" s="1" t="s">
        <v>190</v>
      </c>
      <c r="BD32" s="1" t="s">
        <v>254</v>
      </c>
      <c r="BG32" s="1" t="s">
        <v>508</v>
      </c>
      <c r="BI32" s="1"/>
      <c r="BJ32" s="1" t="s">
        <v>571</v>
      </c>
    </row>
    <row r="33" spans="47:62" x14ac:dyDescent="0.25">
      <c r="AU33" s="1" t="s">
        <v>637</v>
      </c>
      <c r="AX33" s="1" t="s">
        <v>447</v>
      </c>
      <c r="BA33" s="1" t="s">
        <v>191</v>
      </c>
      <c r="BD33" s="1" t="s">
        <v>255</v>
      </c>
      <c r="BG33" s="1" t="s">
        <v>509</v>
      </c>
      <c r="BI33" s="1"/>
      <c r="BJ33" s="1" t="s">
        <v>572</v>
      </c>
    </row>
    <row r="34" spans="47:62" x14ac:dyDescent="0.25">
      <c r="AU34" s="1" t="s">
        <v>720</v>
      </c>
      <c r="AX34" s="1" t="s">
        <v>448</v>
      </c>
      <c r="BA34" s="1" t="s">
        <v>192</v>
      </c>
      <c r="BD34" s="1" t="s">
        <v>256</v>
      </c>
      <c r="BG34" s="1" t="s">
        <v>510</v>
      </c>
      <c r="BI34" s="1"/>
      <c r="BJ34" s="1" t="s">
        <v>573</v>
      </c>
    </row>
    <row r="35" spans="47:62" x14ac:dyDescent="0.25">
      <c r="AU35" s="1" t="s">
        <v>724</v>
      </c>
      <c r="AX35" s="1" t="s">
        <v>449</v>
      </c>
      <c r="BA35" s="1" t="s">
        <v>193</v>
      </c>
      <c r="BD35" s="1" t="s">
        <v>257</v>
      </c>
      <c r="BG35" s="1" t="s">
        <v>511</v>
      </c>
      <c r="BI35" s="1"/>
      <c r="BJ35" s="1" t="s">
        <v>574</v>
      </c>
    </row>
    <row r="36" spans="47:62" x14ac:dyDescent="0.25">
      <c r="AU36" s="1" t="s">
        <v>734</v>
      </c>
      <c r="AX36" s="1" t="s">
        <v>450</v>
      </c>
      <c r="BA36" s="1" t="s">
        <v>194</v>
      </c>
      <c r="BD36" s="1" t="s">
        <v>258</v>
      </c>
      <c r="BG36" s="1" t="s">
        <v>512</v>
      </c>
      <c r="BI36" s="1"/>
      <c r="BJ36" s="1" t="s">
        <v>575</v>
      </c>
    </row>
    <row r="37" spans="47:62" x14ac:dyDescent="0.25">
      <c r="AU37" s="1" t="s">
        <v>750</v>
      </c>
      <c r="AX37" s="1" t="s">
        <v>451</v>
      </c>
      <c r="BA37" s="1" t="s">
        <v>195</v>
      </c>
      <c r="BD37" s="1" t="s">
        <v>259</v>
      </c>
      <c r="BG37" s="1" t="s">
        <v>513</v>
      </c>
      <c r="BI37" s="1"/>
      <c r="BJ37" s="1" t="s">
        <v>576</v>
      </c>
    </row>
    <row r="38" spans="47:62" x14ac:dyDescent="0.25">
      <c r="AU38" s="1" t="s">
        <v>757</v>
      </c>
      <c r="AX38" s="1" t="s">
        <v>452</v>
      </c>
      <c r="BA38" s="1" t="s">
        <v>196</v>
      </c>
      <c r="BD38" s="1" t="s">
        <v>260</v>
      </c>
      <c r="BG38" s="1" t="s">
        <v>514</v>
      </c>
      <c r="BI38" s="1"/>
      <c r="BJ38" s="1" t="s">
        <v>577</v>
      </c>
    </row>
    <row r="39" spans="47:62" x14ac:dyDescent="0.25">
      <c r="AX39" s="1" t="s">
        <v>453</v>
      </c>
      <c r="BA39" s="1" t="s">
        <v>197</v>
      </c>
      <c r="BD39" s="1" t="s">
        <v>261</v>
      </c>
      <c r="BG39" s="1" t="s">
        <v>515</v>
      </c>
      <c r="BI39" s="1"/>
      <c r="BJ39" s="1" t="s">
        <v>578</v>
      </c>
    </row>
    <row r="40" spans="47:62" x14ac:dyDescent="0.25">
      <c r="AX40" s="1" t="s">
        <v>454</v>
      </c>
      <c r="BA40" s="1" t="s">
        <v>198</v>
      </c>
      <c r="BD40" s="1" t="s">
        <v>262</v>
      </c>
      <c r="BG40" s="1" t="s">
        <v>516</v>
      </c>
      <c r="BI40" s="1"/>
      <c r="BJ40" s="1" t="s">
        <v>579</v>
      </c>
    </row>
    <row r="41" spans="47:62" x14ac:dyDescent="0.25">
      <c r="AX41" s="1" t="s">
        <v>455</v>
      </c>
      <c r="BA41" s="1" t="s">
        <v>199</v>
      </c>
      <c r="BD41" s="1" t="s">
        <v>263</v>
      </c>
      <c r="BG41" s="1" t="s">
        <v>517</v>
      </c>
      <c r="BI41" s="1"/>
      <c r="BJ41" s="1" t="s">
        <v>580</v>
      </c>
    </row>
    <row r="42" spans="47:62" x14ac:dyDescent="0.25">
      <c r="AX42" s="1"/>
      <c r="BA42" s="1" t="s">
        <v>200</v>
      </c>
      <c r="BD42" s="1" t="s">
        <v>264</v>
      </c>
      <c r="BG42" s="1"/>
      <c r="BI42" s="1"/>
      <c r="BJ42" s="1" t="s">
        <v>581</v>
      </c>
    </row>
    <row r="43" spans="47:62" x14ac:dyDescent="0.25">
      <c r="AX43" s="1"/>
      <c r="BA43" s="1" t="s">
        <v>201</v>
      </c>
      <c r="BD43" s="1" t="s">
        <v>265</v>
      </c>
      <c r="BG43" s="1"/>
      <c r="BI43" s="1"/>
      <c r="BJ43" s="1" t="s">
        <v>582</v>
      </c>
    </row>
    <row r="44" spans="47:62" x14ac:dyDescent="0.25">
      <c r="AX44" s="1"/>
      <c r="BA44" s="1" t="s">
        <v>202</v>
      </c>
      <c r="BD44" s="1" t="s">
        <v>266</v>
      </c>
      <c r="BG44" s="1"/>
      <c r="BI44" s="1"/>
      <c r="BJ44" s="1" t="s">
        <v>583</v>
      </c>
    </row>
    <row r="45" spans="47:62" x14ac:dyDescent="0.25">
      <c r="AX45" s="1"/>
      <c r="BA45" s="1" t="s">
        <v>203</v>
      </c>
      <c r="BD45" s="1" t="s">
        <v>267</v>
      </c>
      <c r="BG45" s="1"/>
      <c r="BI45" s="1"/>
      <c r="BJ45" s="1" t="s">
        <v>584</v>
      </c>
    </row>
    <row r="46" spans="47:62" x14ac:dyDescent="0.25">
      <c r="AX46" s="1"/>
      <c r="BA46" s="1" t="s">
        <v>204</v>
      </c>
      <c r="BD46" s="1" t="s">
        <v>268</v>
      </c>
      <c r="BG46" s="1"/>
      <c r="BI46" s="1"/>
      <c r="BJ46" s="1" t="s">
        <v>585</v>
      </c>
    </row>
    <row r="47" spans="47:62" x14ac:dyDescent="0.25">
      <c r="AX47" s="1"/>
      <c r="BA47" s="1" t="s">
        <v>205</v>
      </c>
      <c r="BD47" s="1" t="s">
        <v>269</v>
      </c>
      <c r="BG47" s="1"/>
      <c r="BI47" s="1"/>
      <c r="BJ47" s="1" t="s">
        <v>586</v>
      </c>
    </row>
    <row r="48" spans="47:62" x14ac:dyDescent="0.25">
      <c r="AX48" s="1"/>
      <c r="BA48" s="1" t="s">
        <v>206</v>
      </c>
      <c r="BD48" s="1" t="s">
        <v>270</v>
      </c>
      <c r="BG48" s="1"/>
      <c r="BI48" s="1"/>
      <c r="BJ48" s="1" t="s">
        <v>587</v>
      </c>
    </row>
    <row r="49" spans="50:62" x14ac:dyDescent="0.25">
      <c r="AX49" s="1"/>
      <c r="BA49" s="1" t="s">
        <v>207</v>
      </c>
      <c r="BD49" s="1" t="s">
        <v>271</v>
      </c>
      <c r="BG49" s="1"/>
      <c r="BI49" s="1"/>
      <c r="BJ49" s="1" t="s">
        <v>588</v>
      </c>
    </row>
    <row r="50" spans="50:62" x14ac:dyDescent="0.25">
      <c r="AX50" s="1"/>
      <c r="BA50" s="1" t="s">
        <v>208</v>
      </c>
      <c r="BD50" s="1" t="s">
        <v>272</v>
      </c>
      <c r="BG50" s="1"/>
      <c r="BI50" s="1"/>
      <c r="BJ50" s="1" t="s">
        <v>589</v>
      </c>
    </row>
    <row r="51" spans="50:62" x14ac:dyDescent="0.25">
      <c r="AX51" s="1"/>
      <c r="BA51" s="1" t="s">
        <v>209</v>
      </c>
      <c r="BD51" s="1" t="s">
        <v>273</v>
      </c>
      <c r="BG51" s="1"/>
      <c r="BI51" s="1"/>
      <c r="BJ51" s="1" t="s">
        <v>590</v>
      </c>
    </row>
    <row r="52" spans="50:62" x14ac:dyDescent="0.25">
      <c r="BA52" s="1" t="s">
        <v>210</v>
      </c>
      <c r="BD52" s="1" t="s">
        <v>274</v>
      </c>
      <c r="BG52" s="1"/>
      <c r="BI52" s="1"/>
      <c r="BJ52" s="1" t="s">
        <v>591</v>
      </c>
    </row>
    <row r="53" spans="50:62" x14ac:dyDescent="0.25">
      <c r="BA53" s="1" t="s">
        <v>211</v>
      </c>
      <c r="BD53" s="1" t="s">
        <v>275</v>
      </c>
      <c r="BG53" s="1"/>
      <c r="BI53" s="1"/>
      <c r="BJ53" s="1" t="s">
        <v>592</v>
      </c>
    </row>
    <row r="54" spans="50:62" x14ac:dyDescent="0.25">
      <c r="BA54" s="1" t="s">
        <v>212</v>
      </c>
      <c r="BD54" s="1" t="s">
        <v>276</v>
      </c>
      <c r="BG54" s="1"/>
      <c r="BI54" s="1"/>
      <c r="BJ54" s="1" t="s">
        <v>593</v>
      </c>
    </row>
    <row r="55" spans="50:62" x14ac:dyDescent="0.25">
      <c r="BA55" s="1" t="s">
        <v>213</v>
      </c>
      <c r="BD55" s="1" t="s">
        <v>277</v>
      </c>
      <c r="BG55" s="1"/>
      <c r="BI55" s="1"/>
      <c r="BJ55" s="1" t="s">
        <v>594</v>
      </c>
    </row>
    <row r="56" spans="50:62" x14ac:dyDescent="0.25">
      <c r="BA56" s="1" t="s">
        <v>214</v>
      </c>
      <c r="BD56" s="1" t="s">
        <v>278</v>
      </c>
      <c r="BG56" s="1"/>
      <c r="BI56" s="1"/>
      <c r="BJ56" s="1" t="s">
        <v>595</v>
      </c>
    </row>
    <row r="57" spans="50:62" x14ac:dyDescent="0.25">
      <c r="BA57" s="1" t="s">
        <v>215</v>
      </c>
      <c r="BD57" s="1" t="s">
        <v>279</v>
      </c>
      <c r="BG57" s="1"/>
      <c r="BI57" s="1"/>
      <c r="BJ57" s="1" t="s">
        <v>596</v>
      </c>
    </row>
    <row r="58" spans="50:62" x14ac:dyDescent="0.25">
      <c r="BA58" s="1" t="s">
        <v>216</v>
      </c>
      <c r="BD58" s="1" t="s">
        <v>280</v>
      </c>
      <c r="BG58" s="1"/>
      <c r="BI58" s="1"/>
      <c r="BJ58" s="1" t="s">
        <v>597</v>
      </c>
    </row>
    <row r="59" spans="50:62" x14ac:dyDescent="0.25">
      <c r="BA59" s="1" t="s">
        <v>217</v>
      </c>
      <c r="BD59" s="1" t="s">
        <v>281</v>
      </c>
      <c r="BG59" s="1"/>
      <c r="BI59" s="1"/>
      <c r="BJ59" s="1" t="s">
        <v>598</v>
      </c>
    </row>
    <row r="60" spans="50:62" x14ac:dyDescent="0.25">
      <c r="BA60" s="1" t="s">
        <v>218</v>
      </c>
      <c r="BD60" s="1" t="s">
        <v>282</v>
      </c>
      <c r="BG60" s="1"/>
      <c r="BI60" s="1"/>
      <c r="BJ60" s="1" t="s">
        <v>599</v>
      </c>
    </row>
    <row r="61" spans="50:62" x14ac:dyDescent="0.25">
      <c r="BA61" s="1" t="s">
        <v>219</v>
      </c>
      <c r="BD61" s="1" t="s">
        <v>283</v>
      </c>
      <c r="BG61" s="1"/>
      <c r="BI61" s="1"/>
      <c r="BJ61" s="1" t="s">
        <v>600</v>
      </c>
    </row>
    <row r="62" spans="50:62" x14ac:dyDescent="0.25">
      <c r="BA62" s="1" t="s">
        <v>220</v>
      </c>
      <c r="BD62" s="1" t="s">
        <v>284</v>
      </c>
      <c r="BG62" s="1"/>
      <c r="BI62" s="1"/>
      <c r="BJ62" s="1" t="s">
        <v>601</v>
      </c>
    </row>
    <row r="63" spans="50:62" x14ac:dyDescent="0.25">
      <c r="BA63" s="1" t="s">
        <v>221</v>
      </c>
      <c r="BD63" s="1" t="s">
        <v>285</v>
      </c>
      <c r="BG63" s="1"/>
      <c r="BI63" s="1"/>
      <c r="BJ63" s="1" t="s">
        <v>602</v>
      </c>
    </row>
    <row r="64" spans="50:62" x14ac:dyDescent="0.25">
      <c r="BA64" s="1" t="s">
        <v>222</v>
      </c>
      <c r="BD64" s="1" t="s">
        <v>286</v>
      </c>
      <c r="BG64" s="1"/>
      <c r="BI64" s="1"/>
      <c r="BJ64" s="1" t="s">
        <v>603</v>
      </c>
    </row>
    <row r="65" spans="53:62" x14ac:dyDescent="0.25">
      <c r="BA65" s="1" t="s">
        <v>223</v>
      </c>
      <c r="BD65" s="1" t="s">
        <v>287</v>
      </c>
      <c r="BG65" s="1"/>
      <c r="BI65" s="1"/>
      <c r="BJ65" s="1" t="s">
        <v>604</v>
      </c>
    </row>
    <row r="66" spans="53:62" x14ac:dyDescent="0.25">
      <c r="BA66" s="1" t="s">
        <v>409</v>
      </c>
      <c r="BD66" s="1" t="s">
        <v>288</v>
      </c>
      <c r="BG66" s="1"/>
      <c r="BI66" s="1"/>
      <c r="BJ66" s="1" t="s">
        <v>605</v>
      </c>
    </row>
    <row r="67" spans="53:62" x14ac:dyDescent="0.25">
      <c r="BA67" s="1" t="s">
        <v>410</v>
      </c>
      <c r="BD67" s="1" t="s">
        <v>289</v>
      </c>
      <c r="BG67" s="1"/>
      <c r="BI67" s="1"/>
      <c r="BJ67" s="1" t="s">
        <v>606</v>
      </c>
    </row>
    <row r="68" spans="53:62" x14ac:dyDescent="0.25">
      <c r="BA68" s="1" t="s">
        <v>411</v>
      </c>
      <c r="BD68" s="1" t="s">
        <v>290</v>
      </c>
      <c r="BG68" s="1"/>
      <c r="BI68" s="1"/>
      <c r="BJ68" s="1" t="s">
        <v>607</v>
      </c>
    </row>
    <row r="69" spans="53:62" x14ac:dyDescent="0.25">
      <c r="BA69" s="1" t="s">
        <v>412</v>
      </c>
      <c r="BD69" s="1" t="s">
        <v>291</v>
      </c>
      <c r="BG69" s="1"/>
      <c r="BI69" s="1"/>
      <c r="BJ69" s="1" t="s">
        <v>608</v>
      </c>
    </row>
    <row r="70" spans="53:62" x14ac:dyDescent="0.25">
      <c r="BA70" s="1" t="s">
        <v>413</v>
      </c>
      <c r="BD70" s="1" t="s">
        <v>292</v>
      </c>
      <c r="BG70" s="1"/>
      <c r="BI70" s="1"/>
      <c r="BJ70" s="1" t="s">
        <v>609</v>
      </c>
    </row>
    <row r="71" spans="53:62" x14ac:dyDescent="0.25">
      <c r="BA71" s="1" t="s">
        <v>414</v>
      </c>
      <c r="BD71" s="1" t="s">
        <v>293</v>
      </c>
      <c r="BG71" s="1"/>
      <c r="BI71" s="1"/>
      <c r="BJ71" s="1" t="s">
        <v>610</v>
      </c>
    </row>
    <row r="72" spans="53:62" x14ac:dyDescent="0.25">
      <c r="BA72" s="1" t="s">
        <v>415</v>
      </c>
      <c r="BD72" s="1" t="s">
        <v>294</v>
      </c>
      <c r="BG72" s="1"/>
      <c r="BI72" s="1"/>
      <c r="BJ72" s="1" t="s">
        <v>611</v>
      </c>
    </row>
    <row r="73" spans="53:62" x14ac:dyDescent="0.25">
      <c r="BA73" s="1" t="s">
        <v>416</v>
      </c>
      <c r="BD73" s="1" t="s">
        <v>295</v>
      </c>
      <c r="BG73" s="1"/>
      <c r="BI73" s="1"/>
      <c r="BJ73" s="1" t="s">
        <v>612</v>
      </c>
    </row>
    <row r="74" spans="53:62" x14ac:dyDescent="0.25">
      <c r="BA74" s="1" t="s">
        <v>417</v>
      </c>
      <c r="BD74" s="1" t="s">
        <v>296</v>
      </c>
      <c r="BG74" s="1"/>
      <c r="BI74" s="1"/>
      <c r="BJ74" s="1" t="s">
        <v>613</v>
      </c>
    </row>
    <row r="75" spans="53:62" x14ac:dyDescent="0.25">
      <c r="BA75" s="1" t="s">
        <v>418</v>
      </c>
      <c r="BD75" s="1" t="s">
        <v>297</v>
      </c>
      <c r="BG75" s="1"/>
      <c r="BI75" s="1"/>
      <c r="BJ75" s="1" t="s">
        <v>614</v>
      </c>
    </row>
    <row r="76" spans="53:62" x14ac:dyDescent="0.25">
      <c r="BA76" s="1" t="s">
        <v>419</v>
      </c>
      <c r="BD76" s="1" t="s">
        <v>298</v>
      </c>
      <c r="BG76" s="1"/>
      <c r="BI76" s="1"/>
      <c r="BJ76" s="1" t="s">
        <v>615</v>
      </c>
    </row>
    <row r="77" spans="53:62" x14ac:dyDescent="0.25">
      <c r="BA77" s="1" t="s">
        <v>420</v>
      </c>
      <c r="BD77" s="1" t="s">
        <v>299</v>
      </c>
      <c r="BG77" s="1"/>
      <c r="BI77" s="1"/>
      <c r="BJ77" s="1" t="s">
        <v>616</v>
      </c>
    </row>
    <row r="78" spans="53:62" x14ac:dyDescent="0.25">
      <c r="BA78" s="1"/>
      <c r="BD78" s="1" t="s">
        <v>300</v>
      </c>
      <c r="BG78" s="1"/>
      <c r="BI78" s="1"/>
      <c r="BJ78" s="1" t="s">
        <v>617</v>
      </c>
    </row>
    <row r="79" spans="53:62" x14ac:dyDescent="0.25">
      <c r="BA79" s="1"/>
      <c r="BD79" s="1" t="s">
        <v>301</v>
      </c>
      <c r="BG79" s="1"/>
      <c r="BI79" s="1"/>
      <c r="BJ79" s="1" t="s">
        <v>618</v>
      </c>
    </row>
    <row r="80" spans="53:62" x14ac:dyDescent="0.25">
      <c r="BA80" s="1"/>
      <c r="BD80" s="1" t="s">
        <v>302</v>
      </c>
      <c r="BG80" s="1"/>
      <c r="BI80" s="1"/>
      <c r="BJ80" s="1" t="s">
        <v>640</v>
      </c>
    </row>
    <row r="81" spans="53:62" x14ac:dyDescent="0.25">
      <c r="BA81" s="1"/>
      <c r="BD81" s="1" t="s">
        <v>303</v>
      </c>
      <c r="BG81" s="1"/>
      <c r="BI81" s="1"/>
      <c r="BJ81" s="1" t="s">
        <v>641</v>
      </c>
    </row>
    <row r="82" spans="53:62" x14ac:dyDescent="0.25">
      <c r="BA82" s="1"/>
      <c r="BD82" s="1" t="s">
        <v>304</v>
      </c>
      <c r="BG82" s="1"/>
      <c r="BI82" s="1"/>
      <c r="BJ82" s="1" t="s">
        <v>642</v>
      </c>
    </row>
    <row r="83" spans="53:62" x14ac:dyDescent="0.25">
      <c r="BA83" s="1"/>
      <c r="BD83" s="1" t="s">
        <v>305</v>
      </c>
      <c r="BG83" s="1"/>
      <c r="BI83" s="1"/>
      <c r="BJ83" s="1" t="s">
        <v>643</v>
      </c>
    </row>
    <row r="84" spans="53:62" x14ac:dyDescent="0.25">
      <c r="BA84" s="1"/>
      <c r="BD84" s="1" t="s">
        <v>306</v>
      </c>
      <c r="BG84" s="1"/>
      <c r="BI84" s="1"/>
      <c r="BJ84" s="1" t="s">
        <v>644</v>
      </c>
    </row>
    <row r="85" spans="53:62" x14ac:dyDescent="0.25">
      <c r="BA85" s="1"/>
      <c r="BD85" s="1" t="s">
        <v>307</v>
      </c>
      <c r="BG85" s="1"/>
      <c r="BI85" s="1"/>
      <c r="BJ85" s="1" t="s">
        <v>645</v>
      </c>
    </row>
    <row r="86" spans="53:62" x14ac:dyDescent="0.25">
      <c r="BA86" s="1"/>
      <c r="BD86" s="1" t="s">
        <v>308</v>
      </c>
      <c r="BG86" s="1"/>
      <c r="BI86" s="1"/>
      <c r="BJ86" s="1" t="s">
        <v>646</v>
      </c>
    </row>
    <row r="87" spans="53:62" x14ac:dyDescent="0.25">
      <c r="BA87" s="1"/>
      <c r="BD87" s="1" t="s">
        <v>309</v>
      </c>
      <c r="BG87" s="1"/>
      <c r="BI87" s="1"/>
      <c r="BJ87" s="1" t="s">
        <v>647</v>
      </c>
    </row>
    <row r="88" spans="53:62" x14ac:dyDescent="0.25">
      <c r="BA88" s="1"/>
      <c r="BD88" s="1" t="s">
        <v>310</v>
      </c>
      <c r="BG88" s="1"/>
      <c r="BI88" s="1"/>
      <c r="BJ88" s="1" t="s">
        <v>648</v>
      </c>
    </row>
    <row r="89" spans="53:62" x14ac:dyDescent="0.25">
      <c r="BD89" s="1" t="s">
        <v>311</v>
      </c>
      <c r="BG89" s="1"/>
      <c r="BI89" s="1"/>
      <c r="BJ89" s="1" t="s">
        <v>649</v>
      </c>
    </row>
    <row r="90" spans="53:62" x14ac:dyDescent="0.25">
      <c r="BD90" s="1" t="s">
        <v>312</v>
      </c>
      <c r="BG90" s="1"/>
      <c r="BI90" s="1"/>
      <c r="BJ90" s="1" t="s">
        <v>650</v>
      </c>
    </row>
    <row r="91" spans="53:62" x14ac:dyDescent="0.25">
      <c r="BD91" s="1" t="s">
        <v>313</v>
      </c>
      <c r="BG91" s="1"/>
      <c r="BI91" s="1"/>
      <c r="BJ91" s="1" t="s">
        <v>651</v>
      </c>
    </row>
    <row r="92" spans="53:62" x14ac:dyDescent="0.25">
      <c r="BD92" s="1" t="s">
        <v>314</v>
      </c>
      <c r="BG92" s="1"/>
      <c r="BI92" s="1"/>
      <c r="BJ92" s="1" t="s">
        <v>652</v>
      </c>
    </row>
    <row r="93" spans="53:62" x14ac:dyDescent="0.25">
      <c r="BD93" s="1" t="s">
        <v>315</v>
      </c>
      <c r="BG93" s="1"/>
      <c r="BI93" s="1"/>
      <c r="BJ93" s="1" t="s">
        <v>653</v>
      </c>
    </row>
    <row r="94" spans="53:62" x14ac:dyDescent="0.25">
      <c r="BD94" s="1" t="s">
        <v>316</v>
      </c>
      <c r="BG94" s="1"/>
      <c r="BI94" s="1"/>
      <c r="BJ94" s="1" t="s">
        <v>654</v>
      </c>
    </row>
    <row r="95" spans="53:62" x14ac:dyDescent="0.25">
      <c r="BD95" s="1" t="s">
        <v>317</v>
      </c>
      <c r="BG95" s="1"/>
      <c r="BI95" s="1"/>
      <c r="BJ95" s="1" t="s">
        <v>655</v>
      </c>
    </row>
    <row r="96" spans="53:62" x14ac:dyDescent="0.25">
      <c r="BD96" s="1" t="s">
        <v>318</v>
      </c>
      <c r="BG96" s="1"/>
      <c r="BI96" s="1"/>
      <c r="BJ96" s="1" t="s">
        <v>656</v>
      </c>
    </row>
    <row r="97" spans="56:62" x14ac:dyDescent="0.25">
      <c r="BD97" s="1" t="s">
        <v>319</v>
      </c>
      <c r="BG97" s="1"/>
      <c r="BI97" s="1"/>
      <c r="BJ97" s="1" t="s">
        <v>657</v>
      </c>
    </row>
    <row r="98" spans="56:62" x14ac:dyDescent="0.25">
      <c r="BD98" s="1" t="s">
        <v>320</v>
      </c>
      <c r="BG98" s="1"/>
      <c r="BI98" s="1"/>
      <c r="BJ98" s="1" t="s">
        <v>658</v>
      </c>
    </row>
    <row r="99" spans="56:62" x14ac:dyDescent="0.25">
      <c r="BD99" s="1" t="s">
        <v>321</v>
      </c>
      <c r="BG99" s="1"/>
      <c r="BI99" s="1"/>
      <c r="BJ99" s="1" t="s">
        <v>659</v>
      </c>
    </row>
    <row r="100" spans="56:62" x14ac:dyDescent="0.25">
      <c r="BD100" s="1" t="s">
        <v>322</v>
      </c>
      <c r="BG100" s="1"/>
      <c r="BI100" s="1"/>
      <c r="BJ100" s="1" t="s">
        <v>660</v>
      </c>
    </row>
    <row r="101" spans="56:62" x14ac:dyDescent="0.25">
      <c r="BD101" s="1" t="s">
        <v>323</v>
      </c>
      <c r="BG101" s="1"/>
      <c r="BI101" s="1"/>
      <c r="BJ101" s="1" t="s">
        <v>661</v>
      </c>
    </row>
    <row r="102" spans="56:62" x14ac:dyDescent="0.25">
      <c r="BD102" s="1" t="s">
        <v>324</v>
      </c>
      <c r="BG102" s="1"/>
      <c r="BI102" s="1"/>
      <c r="BJ102" s="1" t="s">
        <v>662</v>
      </c>
    </row>
    <row r="103" spans="56:62" x14ac:dyDescent="0.25">
      <c r="BD103" s="1" t="s">
        <v>325</v>
      </c>
      <c r="BG103" s="1"/>
      <c r="BI103" s="1"/>
      <c r="BJ103" s="1" t="s">
        <v>663</v>
      </c>
    </row>
    <row r="104" spans="56:62" x14ac:dyDescent="0.25">
      <c r="BD104" s="1" t="s">
        <v>326</v>
      </c>
      <c r="BG104" s="1"/>
      <c r="BI104" s="1"/>
      <c r="BJ104" s="1" t="s">
        <v>664</v>
      </c>
    </row>
    <row r="105" spans="56:62" x14ac:dyDescent="0.25">
      <c r="BD105" s="1" t="s">
        <v>327</v>
      </c>
      <c r="BG105" s="1"/>
      <c r="BI105" s="1"/>
      <c r="BJ105" s="1" t="s">
        <v>665</v>
      </c>
    </row>
    <row r="106" spans="56:62" x14ac:dyDescent="0.25">
      <c r="BD106" s="1" t="s">
        <v>328</v>
      </c>
      <c r="BG106" s="1"/>
      <c r="BI106" s="1"/>
      <c r="BJ106" s="1" t="s">
        <v>666</v>
      </c>
    </row>
    <row r="107" spans="56:62" x14ac:dyDescent="0.25">
      <c r="BD107" s="1" t="s">
        <v>329</v>
      </c>
      <c r="BG107" s="1"/>
      <c r="BI107" s="1"/>
      <c r="BJ107" s="1" t="s">
        <v>667</v>
      </c>
    </row>
    <row r="108" spans="56:62" x14ac:dyDescent="0.25">
      <c r="BD108" s="1" t="s">
        <v>330</v>
      </c>
      <c r="BG108" s="1"/>
      <c r="BI108" s="1"/>
      <c r="BJ108" s="1" t="s">
        <v>668</v>
      </c>
    </row>
    <row r="109" spans="56:62" x14ac:dyDescent="0.25">
      <c r="BD109" s="1" t="s">
        <v>331</v>
      </c>
      <c r="BG109" s="1"/>
      <c r="BI109" s="1"/>
      <c r="BJ109" s="1" t="s">
        <v>669</v>
      </c>
    </row>
    <row r="110" spans="56:62" x14ac:dyDescent="0.25">
      <c r="BD110" s="1" t="s">
        <v>332</v>
      </c>
      <c r="BG110" s="1"/>
      <c r="BI110" s="1"/>
      <c r="BJ110" s="1" t="s">
        <v>670</v>
      </c>
    </row>
    <row r="111" spans="56:62" x14ac:dyDescent="0.25">
      <c r="BD111" s="1" t="s">
        <v>333</v>
      </c>
      <c r="BG111" s="1"/>
      <c r="BI111" s="1"/>
      <c r="BJ111" s="1" t="s">
        <v>671</v>
      </c>
    </row>
    <row r="112" spans="56:62" x14ac:dyDescent="0.25">
      <c r="BD112" s="1" t="s">
        <v>334</v>
      </c>
      <c r="BG112" s="1"/>
      <c r="BI112" s="1"/>
      <c r="BJ112" s="1" t="s">
        <v>672</v>
      </c>
    </row>
    <row r="113" spans="56:62" x14ac:dyDescent="0.25">
      <c r="BD113" s="1" t="s">
        <v>335</v>
      </c>
      <c r="BG113" s="1"/>
      <c r="BI113" s="1"/>
      <c r="BJ113" s="1" t="s">
        <v>673</v>
      </c>
    </row>
    <row r="114" spans="56:62" x14ac:dyDescent="0.25">
      <c r="BD114" s="1" t="s">
        <v>431</v>
      </c>
      <c r="BG114" s="1"/>
      <c r="BI114" s="1"/>
      <c r="BJ114" s="1" t="s">
        <v>674</v>
      </c>
    </row>
    <row r="115" spans="56:62" x14ac:dyDescent="0.25">
      <c r="BD115" s="1" t="s">
        <v>432</v>
      </c>
      <c r="BG115" s="1"/>
      <c r="BI115" s="1"/>
      <c r="BJ115" s="1" t="s">
        <v>675</v>
      </c>
    </row>
    <row r="116" spans="56:62" x14ac:dyDescent="0.25">
      <c r="BD116" s="1" t="s">
        <v>433</v>
      </c>
      <c r="BG116" s="1"/>
      <c r="BI116" s="1"/>
      <c r="BJ116" s="1" t="s">
        <v>676</v>
      </c>
    </row>
    <row r="117" spans="56:62" x14ac:dyDescent="0.25">
      <c r="BD117" s="1" t="s">
        <v>434</v>
      </c>
      <c r="BG117" s="1"/>
      <c r="BI117" s="1"/>
      <c r="BJ117" s="1" t="s">
        <v>677</v>
      </c>
    </row>
    <row r="118" spans="56:62" x14ac:dyDescent="0.25">
      <c r="BD118" s="1" t="s">
        <v>435</v>
      </c>
      <c r="BG118" s="1"/>
      <c r="BI118" s="1"/>
      <c r="BJ118" s="1" t="s">
        <v>678</v>
      </c>
    </row>
    <row r="119" spans="56:62" x14ac:dyDescent="0.25">
      <c r="BD119" s="1" t="s">
        <v>436</v>
      </c>
      <c r="BG119" s="1"/>
      <c r="BI119" s="1"/>
      <c r="BJ119" s="1" t="s">
        <v>679</v>
      </c>
    </row>
    <row r="120" spans="56:62" x14ac:dyDescent="0.25">
      <c r="BD120" s="1" t="s">
        <v>437</v>
      </c>
      <c r="BG120" s="1"/>
      <c r="BI120" s="1"/>
      <c r="BJ120" s="1" t="s">
        <v>680</v>
      </c>
    </row>
    <row r="121" spans="56:62" x14ac:dyDescent="0.25">
      <c r="BD121" s="1" t="s">
        <v>438</v>
      </c>
      <c r="BG121" s="1"/>
      <c r="BI121" s="1"/>
      <c r="BJ121" s="1" t="s">
        <v>681</v>
      </c>
    </row>
    <row r="122" spans="56:62" x14ac:dyDescent="0.25">
      <c r="BD122" s="1" t="s">
        <v>439</v>
      </c>
      <c r="BG122" s="1"/>
      <c r="BI122" s="1"/>
      <c r="BJ122" s="1" t="s">
        <v>682</v>
      </c>
    </row>
    <row r="123" spans="56:62" x14ac:dyDescent="0.25">
      <c r="BD123" s="1" t="s">
        <v>440</v>
      </c>
      <c r="BG123" s="1"/>
      <c r="BI123" s="1"/>
      <c r="BJ123" s="1" t="s">
        <v>683</v>
      </c>
    </row>
    <row r="124" spans="56:62" x14ac:dyDescent="0.25">
      <c r="BD124" s="1" t="s">
        <v>441</v>
      </c>
      <c r="BG124" s="1"/>
      <c r="BI124" s="1"/>
      <c r="BJ124" s="1" t="s">
        <v>684</v>
      </c>
    </row>
    <row r="125" spans="56:62" x14ac:dyDescent="0.25">
      <c r="BD125" s="1" t="s">
        <v>442</v>
      </c>
      <c r="BG125" s="1"/>
      <c r="BI125" s="1"/>
      <c r="BJ125" s="1" t="s">
        <v>685</v>
      </c>
    </row>
    <row r="126" spans="56:62" x14ac:dyDescent="0.25">
      <c r="BD126" s="1"/>
      <c r="BG126" s="1"/>
      <c r="BI126" s="1"/>
      <c r="BJ126" s="1" t="s">
        <v>686</v>
      </c>
    </row>
    <row r="127" spans="56:62" x14ac:dyDescent="0.25">
      <c r="BD127" s="1"/>
      <c r="BG127" s="1"/>
      <c r="BI127" s="1"/>
      <c r="BJ127" s="1" t="s">
        <v>687</v>
      </c>
    </row>
    <row r="128" spans="56:62" x14ac:dyDescent="0.25">
      <c r="BD128" s="1"/>
      <c r="BG128" s="1"/>
      <c r="BI128" s="1"/>
      <c r="BJ128" s="1" t="s">
        <v>688</v>
      </c>
    </row>
    <row r="129" spans="56:62" x14ac:dyDescent="0.25">
      <c r="BD129" s="1"/>
      <c r="BG129" s="1"/>
      <c r="BI129" s="1"/>
      <c r="BJ129" s="1" t="s">
        <v>689</v>
      </c>
    </row>
    <row r="130" spans="56:62" x14ac:dyDescent="0.25">
      <c r="BD130" s="1"/>
      <c r="BG130" s="1"/>
      <c r="BI130" s="1"/>
      <c r="BJ130" s="1" t="s">
        <v>690</v>
      </c>
    </row>
    <row r="131" spans="56:62" x14ac:dyDescent="0.25">
      <c r="BD131" s="1"/>
      <c r="BG131" s="1"/>
      <c r="BI131" s="1"/>
      <c r="BJ131" s="1" t="s">
        <v>691</v>
      </c>
    </row>
    <row r="132" spans="56:62" x14ac:dyDescent="0.25">
      <c r="BD132" s="1"/>
      <c r="BG132" s="1"/>
      <c r="BI132" s="1"/>
      <c r="BJ132" s="1" t="s">
        <v>692</v>
      </c>
    </row>
    <row r="133" spans="56:62" x14ac:dyDescent="0.25">
      <c r="BD133" s="1"/>
      <c r="BG133" s="1"/>
      <c r="BI133" s="1"/>
      <c r="BJ133" s="1" t="s">
        <v>693</v>
      </c>
    </row>
    <row r="134" spans="56:62" x14ac:dyDescent="0.25">
      <c r="BD134" s="1"/>
      <c r="BG134" s="1"/>
      <c r="BI134" s="1"/>
      <c r="BJ134" s="1" t="s">
        <v>694</v>
      </c>
    </row>
    <row r="135" spans="56:62" x14ac:dyDescent="0.25">
      <c r="BD135" s="1"/>
      <c r="BG135" s="1"/>
      <c r="BI135" s="1"/>
      <c r="BJ135" s="1" t="s">
        <v>695</v>
      </c>
    </row>
    <row r="136" spans="56:62" x14ac:dyDescent="0.25">
      <c r="BD136" s="1"/>
      <c r="BJ136" s="1" t="s">
        <v>696</v>
      </c>
    </row>
    <row r="137" spans="56:62" x14ac:dyDescent="0.25">
      <c r="BJ137" s="1" t="s">
        <v>697</v>
      </c>
    </row>
    <row r="138" spans="56:62" x14ac:dyDescent="0.25">
      <c r="BJ138" s="1" t="s">
        <v>698</v>
      </c>
    </row>
    <row r="139" spans="56:62" x14ac:dyDescent="0.25">
      <c r="BJ139" s="1" t="s">
        <v>699</v>
      </c>
    </row>
    <row r="140" spans="56:62" x14ac:dyDescent="0.25">
      <c r="BJ140" s="1" t="s">
        <v>700</v>
      </c>
    </row>
    <row r="141" spans="56:62" x14ac:dyDescent="0.25">
      <c r="BJ141" s="1" t="s">
        <v>701</v>
      </c>
    </row>
    <row r="142" spans="56:62" x14ac:dyDescent="0.25">
      <c r="BJ142" s="1" t="s">
        <v>702</v>
      </c>
    </row>
    <row r="143" spans="56:62" x14ac:dyDescent="0.25">
      <c r="BJ143" s="1" t="s">
        <v>703</v>
      </c>
    </row>
    <row r="144" spans="56:62" x14ac:dyDescent="0.25">
      <c r="BJ144" s="1" t="s">
        <v>704</v>
      </c>
    </row>
    <row r="145" spans="62:62" x14ac:dyDescent="0.25">
      <c r="BJ145" s="1" t="s">
        <v>705</v>
      </c>
    </row>
    <row r="146" spans="62:62" x14ac:dyDescent="0.25">
      <c r="BJ146" s="1" t="s">
        <v>706</v>
      </c>
    </row>
    <row r="147" spans="62:62" x14ac:dyDescent="0.25">
      <c r="BJ147" s="1" t="s">
        <v>707</v>
      </c>
    </row>
    <row r="148" spans="62:62" x14ac:dyDescent="0.25">
      <c r="BJ148" s="1" t="s">
        <v>708</v>
      </c>
    </row>
    <row r="149" spans="62:62" x14ac:dyDescent="0.25">
      <c r="BJ149" s="1" t="s">
        <v>709</v>
      </c>
    </row>
    <row r="150" spans="62:62" x14ac:dyDescent="0.25">
      <c r="BJ150" s="1" t="s">
        <v>710</v>
      </c>
    </row>
    <row r="151" spans="62:62" x14ac:dyDescent="0.25">
      <c r="BJ151" s="1" t="s">
        <v>711</v>
      </c>
    </row>
    <row r="152" spans="62:62" x14ac:dyDescent="0.25">
      <c r="BJ152" s="1"/>
    </row>
    <row r="153" spans="62:62" x14ac:dyDescent="0.25">
      <c r="BJ153" s="1"/>
    </row>
    <row r="154" spans="62:62" x14ac:dyDescent="0.25">
      <c r="BJ154" s="1"/>
    </row>
    <row r="155" spans="62:62" x14ac:dyDescent="0.25">
      <c r="BJ155" s="1"/>
    </row>
    <row r="156" spans="62:62" x14ac:dyDescent="0.25">
      <c r="BJ156" s="1"/>
    </row>
  </sheetData>
  <pageMargins left="0.7" right="0.7" top="0.75" bottom="0.75" header="0.3" footer="0.3"/>
  <customProperties>
    <customPr name="REFI_OFFICE_FUNCTION_DATA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G263"/>
  <sheetViews>
    <sheetView zoomScaleNormal="100" workbookViewId="0">
      <selection activeCell="B16" sqref="B16"/>
    </sheetView>
  </sheetViews>
  <sheetFormatPr defaultRowHeight="15" x14ac:dyDescent="0.25"/>
  <cols>
    <col min="2" max="2" width="24" bestFit="1" customWidth="1"/>
    <col min="3" max="3" width="10.5703125" bestFit="1" customWidth="1"/>
    <col min="4" max="11" width="10.42578125" customWidth="1"/>
    <col min="12" max="21" width="11.42578125" customWidth="1"/>
  </cols>
  <sheetData>
    <row r="1" spans="1:59" x14ac:dyDescent="0.25">
      <c r="A1">
        <v>260</v>
      </c>
      <c r="C1" s="15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7"/>
    </row>
    <row r="2" spans="1:59" x14ac:dyDescent="0.25">
      <c r="A2" s="8"/>
      <c r="B2" s="9" t="str">
        <f>_xll.RHistory(B5:B35,".Timestamp;.Close","NBROWS:"&amp;$A$1&amp;" INTERVAL:1D",,"TSREPEAT:NO CH:Fd",C3)</f>
        <v>Updated at 17:18:37</v>
      </c>
      <c r="C2" s="8"/>
      <c r="D2" s="9" t="str" cm="1">
        <f t="array" ref="D2:V2">TRANSPOSE(B5:B23)</f>
        <v>/WZ26</v>
      </c>
      <c r="E2" s="9" t="str">
        <v>/KWZ26</v>
      </c>
      <c r="F2" s="9" t="str">
        <v>/MWEZ26</v>
      </c>
      <c r="G2" s="9" t="str">
        <v>/CZ26</v>
      </c>
      <c r="H2" s="9" t="str">
        <v>/SF27</v>
      </c>
      <c r="I2" s="9" t="str">
        <v>/SMZ26</v>
      </c>
      <c r="J2" s="9" t="str">
        <v>/BOZ26</v>
      </c>
      <c r="K2" s="9" t="str">
        <v>/FCPOF27</v>
      </c>
      <c r="L2" s="9" t="str">
        <v>/DCPF7</v>
      </c>
      <c r="M2" s="9" t="str">
        <v>/DSMF7</v>
      </c>
      <c r="N2" s="9" t="str">
        <v>/DBYF7</v>
      </c>
      <c r="O2" s="9" t="str">
        <v>/CRSMF7</v>
      </c>
      <c r="P2" s="9" t="str">
        <v>/COIF7</v>
      </c>
      <c r="Q2" s="9" t="str">
        <v>/COMG7</v>
      </c>
      <c r="R2" s="9" t="str">
        <v>/RSF7</v>
      </c>
      <c r="S2" s="9" t="str">
        <v>/CUUV26</v>
      </c>
      <c r="T2" s="9" t="str">
        <v>/HOZ26</v>
      </c>
      <c r="U2" s="10" t="str">
        <v>/LGOZ6</v>
      </c>
      <c r="V2" s="1" t="str">
        <v>/CLZ26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59" x14ac:dyDescent="0.25">
      <c r="A3" s="11"/>
      <c r="B3" s="12"/>
      <c r="C3" s="20" t="s">
        <v>471</v>
      </c>
      <c r="D3" s="13" t="s">
        <v>472</v>
      </c>
      <c r="E3" s="13" t="s">
        <v>472</v>
      </c>
      <c r="F3" s="13" t="s">
        <v>472</v>
      </c>
      <c r="G3" s="13" t="s">
        <v>472</v>
      </c>
      <c r="H3" s="13" t="s">
        <v>472</v>
      </c>
      <c r="I3" s="13" t="s">
        <v>472</v>
      </c>
      <c r="J3" s="13" t="s">
        <v>472</v>
      </c>
      <c r="K3" s="13" t="s">
        <v>472</v>
      </c>
      <c r="L3" s="13" t="s">
        <v>472</v>
      </c>
      <c r="M3" s="13" t="s">
        <v>472</v>
      </c>
      <c r="N3" s="13" t="s">
        <v>472</v>
      </c>
      <c r="O3" s="13" t="s">
        <v>472</v>
      </c>
      <c r="P3" s="13" t="s">
        <v>472</v>
      </c>
      <c r="Q3" s="13" t="s">
        <v>472</v>
      </c>
      <c r="R3" s="13" t="s">
        <v>472</v>
      </c>
      <c r="S3" s="13" t="s">
        <v>472</v>
      </c>
      <c r="T3" s="13" t="s">
        <v>472</v>
      </c>
      <c r="U3" s="14" t="s">
        <v>472</v>
      </c>
      <c r="V3" s="1" t="s">
        <v>472</v>
      </c>
      <c r="BC3">
        <v>4067</v>
      </c>
      <c r="BE3">
        <v>4067</v>
      </c>
      <c r="BG3">
        <v>4067</v>
      </c>
    </row>
    <row r="4" spans="1:59" x14ac:dyDescent="0.25">
      <c r="A4" s="8"/>
      <c r="B4" s="9"/>
      <c r="C4" s="18">
        <v>46318</v>
      </c>
      <c r="D4" s="9">
        <v>626.75</v>
      </c>
      <c r="E4" s="9">
        <v>666.75</v>
      </c>
      <c r="F4" s="9">
        <v>6.4725000000000001</v>
      </c>
      <c r="G4" s="9">
        <v>459</v>
      </c>
      <c r="H4" s="9">
        <v>1265.25</v>
      </c>
      <c r="I4" s="9">
        <v>347.9</v>
      </c>
      <c r="J4" s="9">
        <v>66.75</v>
      </c>
      <c r="K4" s="9">
        <v>4827</v>
      </c>
      <c r="L4" s="9">
        <v>9567</v>
      </c>
      <c r="M4" s="9">
        <v>3272</v>
      </c>
      <c r="N4" s="9">
        <v>9080</v>
      </c>
      <c r="O4" s="9">
        <v>2251</v>
      </c>
      <c r="P4" s="9">
        <v>10337</v>
      </c>
      <c r="Q4" s="9">
        <v>549</v>
      </c>
      <c r="R4" s="9">
        <v>792.1</v>
      </c>
      <c r="S4" s="9"/>
      <c r="T4" s="9">
        <v>4.7758000000000003</v>
      </c>
      <c r="U4" s="10">
        <v>1429</v>
      </c>
      <c r="V4">
        <v>100.31</v>
      </c>
    </row>
    <row r="5" spans="1:59" x14ac:dyDescent="0.25">
      <c r="A5" s="11"/>
      <c r="B5" s="12" t="str">
        <f>Instrument!B1</f>
        <v>/WZ26</v>
      </c>
      <c r="C5" s="18">
        <v>46317</v>
      </c>
      <c r="D5" s="9">
        <v>624.75</v>
      </c>
      <c r="E5" s="9">
        <v>665.75</v>
      </c>
      <c r="F5" s="9">
        <v>6.4175000000000004</v>
      </c>
      <c r="G5" s="9">
        <v>460.5</v>
      </c>
      <c r="H5" s="9">
        <v>1264.75</v>
      </c>
      <c r="I5" s="9">
        <v>347.3</v>
      </c>
      <c r="J5" s="9">
        <v>66.739999999999995</v>
      </c>
      <c r="K5" s="9">
        <v>4792</v>
      </c>
      <c r="L5" s="9">
        <v>9579</v>
      </c>
      <c r="M5" s="9">
        <v>3240</v>
      </c>
      <c r="N5" s="9">
        <v>8943</v>
      </c>
      <c r="O5" s="9">
        <v>2254</v>
      </c>
      <c r="P5" s="9">
        <v>10212</v>
      </c>
      <c r="Q5" s="9">
        <v>547.25</v>
      </c>
      <c r="R5" s="9">
        <v>791.3</v>
      </c>
      <c r="S5" s="9">
        <v>2.0425</v>
      </c>
      <c r="T5" s="9">
        <v>4.7366000000000001</v>
      </c>
      <c r="U5" s="10">
        <v>1393.75</v>
      </c>
      <c r="V5">
        <v>99.47</v>
      </c>
    </row>
    <row r="6" spans="1:59" x14ac:dyDescent="0.25">
      <c r="A6" s="8"/>
      <c r="B6" s="9" t="str">
        <f>Instrument!E1</f>
        <v>/KWZ26</v>
      </c>
      <c r="C6" s="18">
        <v>46316</v>
      </c>
      <c r="D6" s="9">
        <v>628.25</v>
      </c>
      <c r="E6" s="9">
        <v>673</v>
      </c>
      <c r="F6" s="9">
        <v>6.5149999999999997</v>
      </c>
      <c r="G6" s="9">
        <v>463.25</v>
      </c>
      <c r="H6" s="9">
        <v>1258.25</v>
      </c>
      <c r="I6" s="9">
        <v>348.3</v>
      </c>
      <c r="J6" s="9">
        <v>65.97</v>
      </c>
      <c r="K6" s="9">
        <v>4767</v>
      </c>
      <c r="L6" s="9">
        <v>9614</v>
      </c>
      <c r="M6" s="9">
        <v>3263</v>
      </c>
      <c r="N6" s="9">
        <v>8917</v>
      </c>
      <c r="O6" s="9">
        <v>2268</v>
      </c>
      <c r="P6" s="9">
        <v>10231</v>
      </c>
      <c r="Q6" s="9">
        <v>540.25</v>
      </c>
      <c r="R6" s="9">
        <v>785.5</v>
      </c>
      <c r="S6" s="9">
        <v>2.06</v>
      </c>
      <c r="T6" s="9">
        <v>4.5772000000000004</v>
      </c>
      <c r="U6" s="10">
        <v>1379.25</v>
      </c>
      <c r="V6">
        <v>97.15</v>
      </c>
    </row>
    <row r="7" spans="1:59" x14ac:dyDescent="0.25">
      <c r="A7" s="11"/>
      <c r="B7" s="12" t="str">
        <f>Instrument!H1</f>
        <v>/MWEZ26</v>
      </c>
      <c r="C7" s="18">
        <v>46315</v>
      </c>
      <c r="D7" s="9">
        <v>643.25</v>
      </c>
      <c r="E7" s="9">
        <v>691</v>
      </c>
      <c r="F7" s="9">
        <v>6.6174999999999997</v>
      </c>
      <c r="G7" s="9">
        <v>462</v>
      </c>
      <c r="H7" s="9">
        <v>1263.5</v>
      </c>
      <c r="I7" s="9">
        <v>348.7</v>
      </c>
      <c r="J7" s="9">
        <v>66.73</v>
      </c>
      <c r="K7" s="9">
        <v>4817</v>
      </c>
      <c r="L7" s="9">
        <v>9523</v>
      </c>
      <c r="M7" s="9">
        <v>3277</v>
      </c>
      <c r="N7" s="9">
        <v>8891</v>
      </c>
      <c r="O7" s="9">
        <v>2299</v>
      </c>
      <c r="P7" s="9">
        <v>10295</v>
      </c>
      <c r="Q7" s="9">
        <v>545</v>
      </c>
      <c r="R7" s="9">
        <v>793.9</v>
      </c>
      <c r="S7" s="9">
        <v>2.0699999999999998</v>
      </c>
      <c r="T7" s="9">
        <v>4.7141000000000002</v>
      </c>
      <c r="U7" s="10">
        <v>1400.5</v>
      </c>
      <c r="V7">
        <v>97.82</v>
      </c>
    </row>
    <row r="8" spans="1:59" x14ac:dyDescent="0.25">
      <c r="A8" s="8"/>
      <c r="B8" s="9" t="str">
        <f>Instrument!K1</f>
        <v>/CZ26</v>
      </c>
      <c r="C8" s="18">
        <v>46314</v>
      </c>
      <c r="D8" s="9">
        <v>655.25</v>
      </c>
      <c r="E8" s="9">
        <v>699.5</v>
      </c>
      <c r="F8" s="9">
        <v>6.7</v>
      </c>
      <c r="G8" s="9">
        <v>467</v>
      </c>
      <c r="H8" s="9">
        <v>1268.75</v>
      </c>
      <c r="I8" s="9">
        <v>354.8</v>
      </c>
      <c r="J8" s="9">
        <v>66.69</v>
      </c>
      <c r="K8" s="9">
        <v>4766</v>
      </c>
      <c r="L8" s="9">
        <v>9499</v>
      </c>
      <c r="M8" s="9">
        <v>3277</v>
      </c>
      <c r="N8" s="9">
        <v>8874</v>
      </c>
      <c r="O8" s="9">
        <v>2350</v>
      </c>
      <c r="P8" s="9">
        <v>10274</v>
      </c>
      <c r="Q8" s="9">
        <v>546.5</v>
      </c>
      <c r="R8" s="9">
        <v>800.2</v>
      </c>
      <c r="S8" s="9">
        <v>2.0874999999999999</v>
      </c>
      <c r="T8" s="9">
        <v>4.726</v>
      </c>
      <c r="U8" s="10">
        <v>1402.25</v>
      </c>
      <c r="V8">
        <v>98.54</v>
      </c>
    </row>
    <row r="9" spans="1:59" x14ac:dyDescent="0.25">
      <c r="A9" s="11"/>
      <c r="B9" s="12" t="str">
        <f>Instrument!N1</f>
        <v>/SF27</v>
      </c>
      <c r="C9" s="18">
        <v>46311</v>
      </c>
      <c r="D9" s="9">
        <v>660.5</v>
      </c>
      <c r="E9" s="9">
        <v>704</v>
      </c>
      <c r="F9" s="9">
        <v>6.7649999999999997</v>
      </c>
      <c r="G9" s="9">
        <v>474.25</v>
      </c>
      <c r="H9" s="9">
        <v>1275.75</v>
      </c>
      <c r="I9" s="9">
        <v>357.1</v>
      </c>
      <c r="J9" s="9">
        <v>67.13</v>
      </c>
      <c r="K9" s="9">
        <v>4769</v>
      </c>
      <c r="L9" s="9">
        <v>9418</v>
      </c>
      <c r="M9" s="9">
        <v>3299</v>
      </c>
      <c r="N9" s="9">
        <v>8834</v>
      </c>
      <c r="O9" s="9">
        <v>2345</v>
      </c>
      <c r="P9" s="9">
        <v>10311</v>
      </c>
      <c r="Q9" s="9">
        <v>552</v>
      </c>
      <c r="R9" s="9">
        <v>811.6</v>
      </c>
      <c r="S9" s="9">
        <v>2.1</v>
      </c>
      <c r="T9" s="9">
        <v>4.7232000000000003</v>
      </c>
      <c r="U9" s="10">
        <v>1369.5</v>
      </c>
      <c r="V9">
        <v>99.02</v>
      </c>
    </row>
    <row r="10" spans="1:59" x14ac:dyDescent="0.25">
      <c r="A10" s="8"/>
      <c r="B10" s="9" t="str">
        <f>Instrument!Q1</f>
        <v>/SMZ26</v>
      </c>
      <c r="C10" s="18">
        <v>46310</v>
      </c>
      <c r="D10" s="9">
        <v>670</v>
      </c>
      <c r="E10" s="9">
        <v>713</v>
      </c>
      <c r="F10" s="9">
        <v>6.86</v>
      </c>
      <c r="G10" s="9">
        <v>478</v>
      </c>
      <c r="H10" s="9">
        <v>1277.75</v>
      </c>
      <c r="I10" s="9">
        <v>359.8</v>
      </c>
      <c r="J10" s="9">
        <v>67.150000000000006</v>
      </c>
      <c r="K10" s="9">
        <v>4725</v>
      </c>
      <c r="L10" s="9">
        <v>9566</v>
      </c>
      <c r="M10" s="9">
        <v>3340</v>
      </c>
      <c r="N10" s="9">
        <v>8921</v>
      </c>
      <c r="O10" s="9">
        <v>2370</v>
      </c>
      <c r="P10" s="9">
        <v>10318</v>
      </c>
      <c r="Q10" s="9">
        <v>554.75</v>
      </c>
      <c r="R10" s="9">
        <v>813.7</v>
      </c>
      <c r="S10" s="9">
        <v>2.0950000000000002</v>
      </c>
      <c r="T10" s="9">
        <v>4.6544999999999996</v>
      </c>
      <c r="U10" s="10">
        <v>1386.75</v>
      </c>
      <c r="V10">
        <v>96.5</v>
      </c>
    </row>
    <row r="11" spans="1:59" x14ac:dyDescent="0.25">
      <c r="A11" s="11"/>
      <c r="B11" s="12" t="str">
        <f>Instrument!T1</f>
        <v>/BOZ26</v>
      </c>
      <c r="C11" s="18">
        <v>46309</v>
      </c>
      <c r="D11" s="9">
        <v>673.25</v>
      </c>
      <c r="E11" s="9">
        <v>715</v>
      </c>
      <c r="F11" s="9">
        <v>6.9</v>
      </c>
      <c r="G11" s="9">
        <v>480.75</v>
      </c>
      <c r="H11" s="9">
        <v>1292</v>
      </c>
      <c r="I11" s="9">
        <v>364.5</v>
      </c>
      <c r="J11" s="9">
        <v>67.06</v>
      </c>
      <c r="K11" s="9">
        <v>4810</v>
      </c>
      <c r="L11" s="9">
        <v>9741</v>
      </c>
      <c r="M11" s="9">
        <v>3373</v>
      </c>
      <c r="N11" s="9">
        <v>9033</v>
      </c>
      <c r="O11" s="9">
        <v>2393</v>
      </c>
      <c r="P11" s="9">
        <v>10459</v>
      </c>
      <c r="Q11" s="9">
        <v>559.25</v>
      </c>
      <c r="R11" s="9">
        <v>824.6</v>
      </c>
      <c r="S11" s="9">
        <v>2.0750000000000002</v>
      </c>
      <c r="T11" s="9">
        <v>4.7507999999999999</v>
      </c>
      <c r="U11" s="10">
        <v>1404</v>
      </c>
      <c r="V11">
        <v>93.9</v>
      </c>
    </row>
    <row r="12" spans="1:59" x14ac:dyDescent="0.25">
      <c r="A12" s="8"/>
      <c r="B12" s="9" t="str">
        <f>Instrument!W1</f>
        <v>/FCPOF27</v>
      </c>
      <c r="C12" s="18">
        <v>46308</v>
      </c>
      <c r="D12" s="9">
        <v>669.25</v>
      </c>
      <c r="E12" s="9">
        <v>712.25</v>
      </c>
      <c r="F12" s="9">
        <v>6.94</v>
      </c>
      <c r="G12" s="9">
        <v>482.75</v>
      </c>
      <c r="H12" s="9">
        <v>1300</v>
      </c>
      <c r="I12" s="9">
        <v>363.2</v>
      </c>
      <c r="J12" s="9">
        <v>68.02</v>
      </c>
      <c r="K12" s="9">
        <v>4787</v>
      </c>
      <c r="L12" s="9">
        <v>9639</v>
      </c>
      <c r="M12" s="9">
        <v>3373</v>
      </c>
      <c r="N12" s="9">
        <v>8962</v>
      </c>
      <c r="O12" s="9">
        <v>2378</v>
      </c>
      <c r="P12" s="9">
        <v>10394</v>
      </c>
      <c r="Q12" s="9">
        <v>559.25</v>
      </c>
      <c r="R12" s="9">
        <v>826.6</v>
      </c>
      <c r="S12" s="9">
        <v>2.09</v>
      </c>
      <c r="T12" s="9">
        <v>4.7766000000000002</v>
      </c>
      <c r="U12" s="10">
        <v>1410.75</v>
      </c>
      <c r="V12">
        <v>93.17</v>
      </c>
    </row>
    <row r="13" spans="1:59" x14ac:dyDescent="0.25">
      <c r="A13" s="11"/>
      <c r="B13" t="str">
        <f>Instrument!Z1</f>
        <v>/DCPF7</v>
      </c>
      <c r="C13" s="18">
        <v>46307</v>
      </c>
      <c r="D13" s="9">
        <v>672.25</v>
      </c>
      <c r="E13" s="9">
        <v>715.25</v>
      </c>
      <c r="F13" s="9">
        <v>6.9625000000000004</v>
      </c>
      <c r="G13" s="9">
        <v>483</v>
      </c>
      <c r="H13" s="9">
        <v>1304.75</v>
      </c>
      <c r="I13" s="9">
        <v>368.7</v>
      </c>
      <c r="J13" s="9">
        <v>68.63</v>
      </c>
      <c r="K13" s="9">
        <v>4758</v>
      </c>
      <c r="L13" s="9">
        <v>9700</v>
      </c>
      <c r="M13" s="9">
        <v>3383</v>
      </c>
      <c r="N13" s="9">
        <v>9008</v>
      </c>
      <c r="O13" s="9">
        <v>2368</v>
      </c>
      <c r="P13" s="9">
        <v>10374</v>
      </c>
      <c r="Q13" s="9">
        <v>552.25</v>
      </c>
      <c r="R13" s="9"/>
      <c r="S13" s="9">
        <v>2.11</v>
      </c>
      <c r="T13" s="9">
        <v>4.5868000000000002</v>
      </c>
      <c r="U13" s="10">
        <v>1371.25</v>
      </c>
      <c r="V13">
        <v>92.86</v>
      </c>
    </row>
    <row r="14" spans="1:59" x14ac:dyDescent="0.25">
      <c r="A14" s="8"/>
      <c r="B14" s="12" t="str">
        <f>Instrument!AC1</f>
        <v>/DSMF7</v>
      </c>
      <c r="C14" s="18">
        <v>46304</v>
      </c>
      <c r="D14" s="9">
        <v>671</v>
      </c>
      <c r="E14" s="9">
        <v>719.25</v>
      </c>
      <c r="F14" s="9">
        <v>6.9524999999999997</v>
      </c>
      <c r="G14" s="9">
        <v>479.75</v>
      </c>
      <c r="H14" s="9">
        <v>1308.75</v>
      </c>
      <c r="I14" s="9">
        <v>365.6</v>
      </c>
      <c r="J14" s="9">
        <v>68.02</v>
      </c>
      <c r="K14" s="9">
        <v>4709</v>
      </c>
      <c r="L14" s="9">
        <v>9662</v>
      </c>
      <c r="M14" s="9">
        <v>3389</v>
      </c>
      <c r="N14" s="9">
        <v>8995</v>
      </c>
      <c r="O14" s="9">
        <v>2365</v>
      </c>
      <c r="P14" s="9">
        <v>10301</v>
      </c>
      <c r="Q14" s="9">
        <v>555.75</v>
      </c>
      <c r="R14" s="9">
        <v>829.8</v>
      </c>
      <c r="S14" s="9">
        <v>2.0674999999999999</v>
      </c>
      <c r="T14" s="9">
        <v>4.5884</v>
      </c>
      <c r="U14" s="10">
        <v>1376</v>
      </c>
      <c r="V14">
        <v>91.01</v>
      </c>
    </row>
    <row r="15" spans="1:59" x14ac:dyDescent="0.25">
      <c r="A15" s="11"/>
      <c r="B15" s="9" t="str">
        <f>Instrument!AF1</f>
        <v>/DBYF7</v>
      </c>
      <c r="C15" s="18">
        <v>46303</v>
      </c>
      <c r="D15" s="9">
        <v>683.25</v>
      </c>
      <c r="E15" s="9">
        <v>736.25</v>
      </c>
      <c r="F15" s="9">
        <v>7.06</v>
      </c>
      <c r="G15" s="9">
        <v>500.25</v>
      </c>
      <c r="H15" s="9">
        <v>1304.25</v>
      </c>
      <c r="I15" s="9">
        <v>357.6</v>
      </c>
      <c r="J15" s="9">
        <v>67.92</v>
      </c>
      <c r="K15" s="9">
        <v>4767</v>
      </c>
      <c r="L15" s="9">
        <v>9564</v>
      </c>
      <c r="M15" s="9">
        <v>3388</v>
      </c>
      <c r="N15" s="9">
        <v>8933</v>
      </c>
      <c r="O15" s="9">
        <v>2352</v>
      </c>
      <c r="P15" s="9">
        <v>10277</v>
      </c>
      <c r="Q15" s="9">
        <v>557.25</v>
      </c>
      <c r="R15" s="9">
        <v>828.9</v>
      </c>
      <c r="S15" s="9">
        <v>2.085</v>
      </c>
      <c r="T15" s="9">
        <v>4.7164999999999999</v>
      </c>
      <c r="U15" s="10">
        <v>1391.25</v>
      </c>
      <c r="V15">
        <v>90.75</v>
      </c>
    </row>
    <row r="16" spans="1:59" x14ac:dyDescent="0.25">
      <c r="A16" s="8"/>
      <c r="B16" s="12" t="str">
        <f>Instrument!AI1</f>
        <v>/CRSMF7</v>
      </c>
      <c r="C16" s="18">
        <v>46302</v>
      </c>
      <c r="D16" s="9">
        <v>686.5</v>
      </c>
      <c r="E16" s="9">
        <v>738.5</v>
      </c>
      <c r="F16" s="9">
        <v>7.1025</v>
      </c>
      <c r="G16" s="9">
        <v>502</v>
      </c>
      <c r="H16" s="9">
        <v>1314.5</v>
      </c>
      <c r="I16" s="9">
        <v>365.8</v>
      </c>
      <c r="J16" s="9">
        <v>67.680000000000007</v>
      </c>
      <c r="K16" s="9">
        <v>4636</v>
      </c>
      <c r="L16" s="9"/>
      <c r="M16" s="9"/>
      <c r="N16" s="9"/>
      <c r="O16" s="9"/>
      <c r="P16" s="9"/>
      <c r="Q16" s="9">
        <v>552.75</v>
      </c>
      <c r="R16" s="9">
        <v>822.9</v>
      </c>
      <c r="S16" s="9">
        <v>2.0699999999999998</v>
      </c>
      <c r="T16" s="9">
        <v>4.4766000000000004</v>
      </c>
      <c r="U16" s="10">
        <v>1333</v>
      </c>
      <c r="V16">
        <v>87.55</v>
      </c>
    </row>
    <row r="17" spans="1:22" x14ac:dyDescent="0.25">
      <c r="A17" s="11"/>
      <c r="B17" s="9" t="str">
        <f>Instrument!AL1</f>
        <v>/COIF7</v>
      </c>
      <c r="C17" s="18">
        <v>46301</v>
      </c>
      <c r="D17" s="9">
        <v>704.25</v>
      </c>
      <c r="E17" s="9">
        <v>756.25</v>
      </c>
      <c r="F17" s="9">
        <v>7.1974999999999998</v>
      </c>
      <c r="G17" s="9">
        <v>508</v>
      </c>
      <c r="H17" s="9">
        <v>1319.25</v>
      </c>
      <c r="I17" s="9">
        <v>354.8</v>
      </c>
      <c r="J17" s="9">
        <v>69.91</v>
      </c>
      <c r="K17" s="9">
        <v>4663</v>
      </c>
      <c r="L17" s="9"/>
      <c r="M17" s="9"/>
      <c r="N17" s="9"/>
      <c r="O17" s="9"/>
      <c r="P17" s="9"/>
      <c r="Q17" s="9">
        <v>561</v>
      </c>
      <c r="R17" s="9">
        <v>839</v>
      </c>
      <c r="S17" s="9">
        <v>2.08</v>
      </c>
      <c r="T17" s="9">
        <v>4.4230999999999998</v>
      </c>
      <c r="U17" s="10">
        <v>1257</v>
      </c>
      <c r="V17">
        <v>88.43</v>
      </c>
    </row>
    <row r="18" spans="1:22" x14ac:dyDescent="0.25">
      <c r="A18" s="8"/>
      <c r="B18" s="12" t="str">
        <f>Instrument!AO1</f>
        <v>/COMG7</v>
      </c>
      <c r="C18" s="18">
        <v>46300</v>
      </c>
      <c r="D18" s="9">
        <v>692.25</v>
      </c>
      <c r="E18" s="9">
        <v>742.25</v>
      </c>
      <c r="F18" s="9">
        <v>7.085</v>
      </c>
      <c r="G18" s="9">
        <v>497.25</v>
      </c>
      <c r="H18" s="9">
        <v>1297.5</v>
      </c>
      <c r="I18" s="9">
        <v>347.1</v>
      </c>
      <c r="J18" s="9">
        <v>69.349999999999994</v>
      </c>
      <c r="K18" s="9">
        <v>4672</v>
      </c>
      <c r="L18" s="9"/>
      <c r="M18" s="9"/>
      <c r="N18" s="9"/>
      <c r="O18" s="9"/>
      <c r="P18" s="9"/>
      <c r="Q18" s="9">
        <v>558</v>
      </c>
      <c r="R18" s="9">
        <v>832.8</v>
      </c>
      <c r="S18" s="9">
        <v>2.0550000000000002</v>
      </c>
      <c r="T18" s="9">
        <v>4.4001000000000001</v>
      </c>
      <c r="U18" s="10">
        <v>1301.5</v>
      </c>
      <c r="V18">
        <v>88.2</v>
      </c>
    </row>
    <row r="19" spans="1:22" x14ac:dyDescent="0.25">
      <c r="A19" s="11"/>
      <c r="B19" s="9" t="str">
        <f>Instrument!AR1</f>
        <v>/RSF7</v>
      </c>
      <c r="C19" s="18">
        <v>46297</v>
      </c>
      <c r="D19" s="9">
        <v>683</v>
      </c>
      <c r="E19" s="9">
        <v>735.25</v>
      </c>
      <c r="F19" s="9">
        <v>6.98</v>
      </c>
      <c r="G19" s="9">
        <v>497.75</v>
      </c>
      <c r="H19" s="9">
        <v>1294.5</v>
      </c>
      <c r="I19" s="9">
        <v>347.5</v>
      </c>
      <c r="J19" s="9">
        <v>68.62</v>
      </c>
      <c r="K19" s="9">
        <v>4627</v>
      </c>
      <c r="L19" s="9"/>
      <c r="M19" s="9"/>
      <c r="N19" s="9"/>
      <c r="O19" s="9"/>
      <c r="P19" s="9"/>
      <c r="Q19" s="9">
        <v>555.25</v>
      </c>
      <c r="R19" s="9">
        <v>828.7</v>
      </c>
      <c r="S19" s="9">
        <v>2.1</v>
      </c>
      <c r="T19" s="9">
        <v>4.3573000000000004</v>
      </c>
      <c r="U19" s="10">
        <v>1265.5</v>
      </c>
      <c r="V19">
        <v>89.43</v>
      </c>
    </row>
    <row r="20" spans="1:22" x14ac:dyDescent="0.25">
      <c r="A20" s="8"/>
      <c r="B20" s="12" t="str">
        <f>Instrument!AU1</f>
        <v>/CUUV26</v>
      </c>
      <c r="C20" s="18">
        <v>46296</v>
      </c>
      <c r="D20" s="9">
        <v>682.75</v>
      </c>
      <c r="E20" s="9">
        <v>737.5</v>
      </c>
      <c r="F20" s="9">
        <v>6.9675000000000002</v>
      </c>
      <c r="G20" s="9">
        <v>502.25</v>
      </c>
      <c r="H20" s="9">
        <v>1300.75</v>
      </c>
      <c r="I20" s="9">
        <v>353.3</v>
      </c>
      <c r="J20" s="9">
        <v>67.38</v>
      </c>
      <c r="K20" s="9">
        <v>4652</v>
      </c>
      <c r="L20" s="9"/>
      <c r="M20" s="9"/>
      <c r="N20" s="9"/>
      <c r="O20" s="9"/>
      <c r="P20" s="9"/>
      <c r="Q20" s="9">
        <v>551.75</v>
      </c>
      <c r="R20" s="9">
        <v>825.2</v>
      </c>
      <c r="S20" s="9">
        <v>2.1150000000000002</v>
      </c>
      <c r="T20" s="9">
        <v>4.4905999999999997</v>
      </c>
      <c r="U20" s="10">
        <v>1335.75</v>
      </c>
      <c r="V20">
        <v>90.84</v>
      </c>
    </row>
    <row r="21" spans="1:22" x14ac:dyDescent="0.25">
      <c r="A21" s="11"/>
      <c r="B21" s="9" t="str">
        <f>Instrument!AX1</f>
        <v>/HOZ26</v>
      </c>
      <c r="C21" s="18">
        <v>46295</v>
      </c>
      <c r="D21" s="9">
        <v>675.75</v>
      </c>
      <c r="E21" s="9">
        <v>733</v>
      </c>
      <c r="F21" s="9">
        <v>6.9325000000000001</v>
      </c>
      <c r="G21" s="9">
        <v>500.75</v>
      </c>
      <c r="H21" s="9">
        <v>1309.25</v>
      </c>
      <c r="I21" s="9">
        <v>356.9</v>
      </c>
      <c r="J21" s="9">
        <v>68.28</v>
      </c>
      <c r="K21" s="9">
        <v>4717</v>
      </c>
      <c r="L21" s="9">
        <v>9593</v>
      </c>
      <c r="M21" s="9">
        <v>3369</v>
      </c>
      <c r="N21" s="9">
        <v>8934</v>
      </c>
      <c r="O21" s="9">
        <v>2332</v>
      </c>
      <c r="P21" s="9">
        <v>10217</v>
      </c>
      <c r="Q21" s="9">
        <v>554</v>
      </c>
      <c r="R21" s="9"/>
      <c r="S21" s="9">
        <v>2.14</v>
      </c>
      <c r="T21" s="9">
        <v>4.5068000000000001</v>
      </c>
      <c r="U21" s="10">
        <v>1350.25</v>
      </c>
      <c r="V21">
        <v>88.42</v>
      </c>
    </row>
    <row r="22" spans="1:22" x14ac:dyDescent="0.25">
      <c r="A22" s="8"/>
      <c r="B22" s="12" t="str">
        <f>Instrument!BA1</f>
        <v>/LGOZ6</v>
      </c>
      <c r="C22" s="18">
        <v>46294</v>
      </c>
      <c r="D22" s="9">
        <v>692.75</v>
      </c>
      <c r="E22" s="9">
        <v>743</v>
      </c>
      <c r="F22" s="9">
        <v>6.9924999999999997</v>
      </c>
      <c r="G22" s="9">
        <v>522</v>
      </c>
      <c r="H22" s="9">
        <v>1312.75</v>
      </c>
      <c r="I22" s="9">
        <v>359</v>
      </c>
      <c r="J22" s="9">
        <v>68.36</v>
      </c>
      <c r="K22" s="9">
        <v>4731</v>
      </c>
      <c r="L22" s="9">
        <v>9571</v>
      </c>
      <c r="M22" s="9">
        <v>3347</v>
      </c>
      <c r="N22" s="9">
        <v>8855</v>
      </c>
      <c r="O22" s="9">
        <v>2298</v>
      </c>
      <c r="P22" s="9">
        <v>10044</v>
      </c>
      <c r="Q22" s="9">
        <v>557.75</v>
      </c>
      <c r="R22" s="9">
        <v>837.1</v>
      </c>
      <c r="S22" s="9">
        <v>2.145</v>
      </c>
      <c r="T22" s="9">
        <v>4.3323</v>
      </c>
      <c r="U22" s="10">
        <v>1297.25</v>
      </c>
      <c r="V22">
        <v>87.25</v>
      </c>
    </row>
    <row r="23" spans="1:22" x14ac:dyDescent="0.25">
      <c r="A23" s="11"/>
      <c r="B23" s="9" t="str">
        <f>Instrument!BD1</f>
        <v>/CLZ26</v>
      </c>
      <c r="C23" s="18">
        <v>46293</v>
      </c>
      <c r="D23" s="9">
        <v>688.75</v>
      </c>
      <c r="E23" s="9">
        <v>745.75</v>
      </c>
      <c r="F23" s="9">
        <v>7.0175000000000001</v>
      </c>
      <c r="G23" s="9">
        <v>523</v>
      </c>
      <c r="H23" s="9">
        <v>1303</v>
      </c>
      <c r="I23" s="9">
        <v>359.4</v>
      </c>
      <c r="J23" s="9">
        <v>67.66</v>
      </c>
      <c r="K23" s="9">
        <v>4774</v>
      </c>
      <c r="L23" s="9">
        <v>9675</v>
      </c>
      <c r="M23" s="9">
        <v>3386</v>
      </c>
      <c r="N23" s="9">
        <v>8883</v>
      </c>
      <c r="O23" s="9">
        <v>2337</v>
      </c>
      <c r="P23" s="9">
        <v>10134</v>
      </c>
      <c r="Q23" s="9">
        <v>548.25</v>
      </c>
      <c r="R23" s="9">
        <v>821.8</v>
      </c>
      <c r="S23" s="9">
        <v>2.1850000000000001</v>
      </c>
      <c r="T23" s="9">
        <v>4.3681000000000001</v>
      </c>
      <c r="U23" s="10">
        <v>1336.75</v>
      </c>
      <c r="V23">
        <v>89.01</v>
      </c>
    </row>
    <row r="24" spans="1:22" x14ac:dyDescent="0.25">
      <c r="A24" s="8"/>
      <c r="B24" s="9"/>
      <c r="C24" s="18">
        <v>46290</v>
      </c>
      <c r="D24" s="9">
        <v>703.25</v>
      </c>
      <c r="E24" s="9">
        <v>762</v>
      </c>
      <c r="F24" s="9">
        <v>7.1349999999999998</v>
      </c>
      <c r="G24" s="9">
        <v>528.25</v>
      </c>
      <c r="H24" s="9">
        <v>1332.5</v>
      </c>
      <c r="I24" s="9">
        <v>371</v>
      </c>
      <c r="J24" s="9">
        <v>67.84</v>
      </c>
      <c r="K24" s="9">
        <v>4768</v>
      </c>
      <c r="L24" s="9"/>
      <c r="M24" s="9"/>
      <c r="N24" s="9"/>
      <c r="O24" s="9"/>
      <c r="P24" s="9"/>
      <c r="Q24" s="9">
        <v>557.5</v>
      </c>
      <c r="R24" s="9">
        <v>841.4</v>
      </c>
      <c r="S24" s="9">
        <v>2.21</v>
      </c>
      <c r="T24" s="9">
        <v>4.3746</v>
      </c>
      <c r="U24" s="10">
        <v>1346.25</v>
      </c>
      <c r="V24">
        <v>88.71</v>
      </c>
    </row>
    <row r="25" spans="1:22" x14ac:dyDescent="0.25">
      <c r="A25" s="11"/>
      <c r="B25" s="12"/>
      <c r="C25" s="18">
        <v>46289</v>
      </c>
      <c r="D25" s="9">
        <v>707</v>
      </c>
      <c r="E25" s="9">
        <v>767</v>
      </c>
      <c r="F25" s="9">
        <v>7.2024999999999997</v>
      </c>
      <c r="G25" s="9">
        <v>527.5</v>
      </c>
      <c r="H25" s="9">
        <v>1332</v>
      </c>
      <c r="I25" s="9">
        <v>372.4</v>
      </c>
      <c r="J25" s="9">
        <v>67.55</v>
      </c>
      <c r="K25" s="9">
        <v>4870</v>
      </c>
      <c r="L25" s="9">
        <v>9787</v>
      </c>
      <c r="M25" s="9">
        <v>3405</v>
      </c>
      <c r="N25" s="9">
        <v>8943</v>
      </c>
      <c r="O25" s="9">
        <v>2347</v>
      </c>
      <c r="P25" s="9">
        <v>10236</v>
      </c>
      <c r="Q25" s="9">
        <v>557.75</v>
      </c>
      <c r="R25" s="9">
        <v>841.2</v>
      </c>
      <c r="S25" s="9">
        <v>2.1800000000000002</v>
      </c>
      <c r="T25" s="9">
        <v>4.4196999999999997</v>
      </c>
      <c r="U25" s="10">
        <v>1385.5</v>
      </c>
      <c r="V25">
        <v>90.9</v>
      </c>
    </row>
    <row r="26" spans="1:22" x14ac:dyDescent="0.25">
      <c r="A26" s="8"/>
      <c r="B26" s="9"/>
      <c r="C26" s="18">
        <v>46288</v>
      </c>
      <c r="D26" s="9">
        <v>708.5</v>
      </c>
      <c r="E26" s="9">
        <v>771.75</v>
      </c>
      <c r="F26" s="9">
        <v>7.2874999999999996</v>
      </c>
      <c r="G26" s="9">
        <v>529</v>
      </c>
      <c r="H26" s="9">
        <v>1333.75</v>
      </c>
      <c r="I26" s="9">
        <v>370.6</v>
      </c>
      <c r="J26" s="9">
        <v>67.81</v>
      </c>
      <c r="K26" s="9">
        <v>4851</v>
      </c>
      <c r="L26" s="9">
        <v>9740</v>
      </c>
      <c r="M26" s="9">
        <v>3414</v>
      </c>
      <c r="N26" s="9">
        <v>8927</v>
      </c>
      <c r="O26" s="9">
        <v>2361</v>
      </c>
      <c r="P26" s="9">
        <v>10145</v>
      </c>
      <c r="Q26" s="9">
        <v>561.75</v>
      </c>
      <c r="R26" s="9">
        <v>837.2</v>
      </c>
      <c r="S26" s="9">
        <v>2.1749999999999998</v>
      </c>
      <c r="T26" s="9">
        <v>4.5171000000000001</v>
      </c>
      <c r="U26" s="10">
        <v>1344</v>
      </c>
      <c r="V26">
        <v>89.51</v>
      </c>
    </row>
    <row r="27" spans="1:22" x14ac:dyDescent="0.25">
      <c r="A27" s="11"/>
      <c r="B27" s="12"/>
      <c r="C27" s="18">
        <v>46287</v>
      </c>
      <c r="D27" s="9">
        <v>717.25</v>
      </c>
      <c r="E27" s="9">
        <v>781.25</v>
      </c>
      <c r="F27" s="9">
        <v>7.3624999999999998</v>
      </c>
      <c r="G27" s="9">
        <v>536.75</v>
      </c>
      <c r="H27" s="9">
        <v>1341.25</v>
      </c>
      <c r="I27" s="9">
        <v>370.7</v>
      </c>
      <c r="J27" s="9">
        <v>67.92</v>
      </c>
      <c r="K27" s="9">
        <v>4884</v>
      </c>
      <c r="L27" s="9">
        <v>9859</v>
      </c>
      <c r="M27" s="9">
        <v>3410</v>
      </c>
      <c r="N27" s="9">
        <v>8946</v>
      </c>
      <c r="O27" s="9">
        <v>2362</v>
      </c>
      <c r="P27" s="9">
        <v>10243</v>
      </c>
      <c r="Q27" s="9">
        <v>560</v>
      </c>
      <c r="R27" s="9">
        <v>836.1</v>
      </c>
      <c r="S27" s="9">
        <v>2.1850000000000001</v>
      </c>
      <c r="T27" s="9">
        <v>4.5488999999999997</v>
      </c>
      <c r="U27" s="10">
        <v>1311</v>
      </c>
      <c r="V27">
        <v>87.98</v>
      </c>
    </row>
    <row r="28" spans="1:22" x14ac:dyDescent="0.25">
      <c r="A28" s="8"/>
      <c r="B28" s="9"/>
      <c r="C28" s="18">
        <v>46286</v>
      </c>
      <c r="D28" s="9">
        <v>726.75</v>
      </c>
      <c r="E28" s="9">
        <v>794.5</v>
      </c>
      <c r="F28" s="9">
        <v>7.4625000000000004</v>
      </c>
      <c r="G28" s="9">
        <v>543</v>
      </c>
      <c r="H28" s="9">
        <v>1344</v>
      </c>
      <c r="I28" s="9">
        <v>368.4</v>
      </c>
      <c r="J28" s="9">
        <v>68.849999999999994</v>
      </c>
      <c r="K28" s="9">
        <v>4929</v>
      </c>
      <c r="L28" s="9">
        <v>9876</v>
      </c>
      <c r="M28" s="9">
        <v>3391</v>
      </c>
      <c r="N28" s="9">
        <v>8897</v>
      </c>
      <c r="O28" s="9">
        <v>2347</v>
      </c>
      <c r="P28" s="9">
        <v>10186</v>
      </c>
      <c r="Q28" s="9">
        <v>563.25</v>
      </c>
      <c r="R28" s="9">
        <v>846.8</v>
      </c>
      <c r="S28" s="9">
        <v>2.19</v>
      </c>
      <c r="T28" s="9">
        <v>4.4851000000000001</v>
      </c>
      <c r="U28" s="10">
        <v>1305.75</v>
      </c>
      <c r="V28">
        <v>89.16</v>
      </c>
    </row>
    <row r="29" spans="1:22" x14ac:dyDescent="0.25">
      <c r="A29" s="11"/>
      <c r="B29" s="12"/>
      <c r="C29" s="18">
        <v>46283</v>
      </c>
      <c r="D29" s="9">
        <v>714.25</v>
      </c>
      <c r="E29" s="9">
        <v>783.75</v>
      </c>
      <c r="F29" s="9">
        <v>7.4124999999999996</v>
      </c>
      <c r="G29" s="9">
        <v>527.5</v>
      </c>
      <c r="H29" s="9">
        <v>1320</v>
      </c>
      <c r="I29" s="9">
        <v>358.6</v>
      </c>
      <c r="J29" s="9">
        <v>68.22</v>
      </c>
      <c r="K29" s="9">
        <v>4983</v>
      </c>
      <c r="L29" s="9">
        <v>9907</v>
      </c>
      <c r="M29" s="9">
        <v>3429</v>
      </c>
      <c r="N29" s="9">
        <v>8905</v>
      </c>
      <c r="O29" s="9">
        <v>2389</v>
      </c>
      <c r="P29" s="9">
        <v>10113</v>
      </c>
      <c r="Q29" s="9">
        <v>557.25</v>
      </c>
      <c r="R29" s="9">
        <v>833</v>
      </c>
      <c r="S29" s="9">
        <v>2.16</v>
      </c>
      <c r="T29" s="9">
        <v>4.5875000000000004</v>
      </c>
      <c r="U29" s="10">
        <v>1351.75</v>
      </c>
      <c r="V29">
        <v>92.05</v>
      </c>
    </row>
    <row r="30" spans="1:22" x14ac:dyDescent="0.25">
      <c r="A30" s="8"/>
      <c r="B30" s="9"/>
      <c r="C30" s="18">
        <v>46282</v>
      </c>
      <c r="D30" s="9">
        <v>727</v>
      </c>
      <c r="E30" s="9">
        <v>794.5</v>
      </c>
      <c r="F30" s="9">
        <v>7.5250000000000004</v>
      </c>
      <c r="G30" s="9">
        <v>530.5</v>
      </c>
      <c r="H30" s="9">
        <v>1337</v>
      </c>
      <c r="I30" s="9">
        <v>371.3</v>
      </c>
      <c r="J30" s="9">
        <v>69.150000000000006</v>
      </c>
      <c r="K30" s="9">
        <v>5028</v>
      </c>
      <c r="L30" s="9">
        <v>10070</v>
      </c>
      <c r="M30" s="9">
        <v>3480</v>
      </c>
      <c r="N30" s="9">
        <v>9017</v>
      </c>
      <c r="O30" s="9">
        <v>2421</v>
      </c>
      <c r="P30" s="9">
        <v>10211</v>
      </c>
      <c r="Q30" s="9">
        <v>556</v>
      </c>
      <c r="R30" s="9">
        <v>844.1</v>
      </c>
      <c r="S30" s="9">
        <v>2.1349999999999998</v>
      </c>
      <c r="T30" s="9">
        <v>4.6261999999999999</v>
      </c>
      <c r="U30" s="10">
        <v>1338.25</v>
      </c>
      <c r="V30">
        <v>92.61</v>
      </c>
    </row>
    <row r="31" spans="1:22" x14ac:dyDescent="0.25">
      <c r="A31" s="11"/>
      <c r="B31" s="12"/>
      <c r="C31" s="18">
        <v>46281</v>
      </c>
      <c r="D31" s="9">
        <v>730.75</v>
      </c>
      <c r="E31" s="9">
        <v>799.5</v>
      </c>
      <c r="F31" s="9">
        <v>7.56</v>
      </c>
      <c r="G31" s="9">
        <v>534.25</v>
      </c>
      <c r="H31" s="9">
        <v>1337.25</v>
      </c>
      <c r="I31" s="9">
        <v>365.6</v>
      </c>
      <c r="J31" s="9">
        <v>69.67</v>
      </c>
      <c r="K31" s="9"/>
      <c r="L31" s="9">
        <v>10066</v>
      </c>
      <c r="M31" s="9">
        <v>3434</v>
      </c>
      <c r="N31" s="9">
        <v>9000</v>
      </c>
      <c r="O31" s="9">
        <v>2372</v>
      </c>
      <c r="P31" s="9">
        <v>10169</v>
      </c>
      <c r="Q31" s="9">
        <v>556.75</v>
      </c>
      <c r="R31" s="9">
        <v>837.8</v>
      </c>
      <c r="S31" s="9">
        <v>2.105</v>
      </c>
      <c r="T31" s="9">
        <v>4.7154999999999996</v>
      </c>
      <c r="U31" s="10">
        <v>1364</v>
      </c>
      <c r="V31">
        <v>92.79</v>
      </c>
    </row>
    <row r="32" spans="1:22" x14ac:dyDescent="0.25">
      <c r="A32" s="8"/>
      <c r="B32" s="9"/>
      <c r="C32" s="18">
        <v>46280</v>
      </c>
      <c r="D32" s="9">
        <v>728.5</v>
      </c>
      <c r="E32" s="9">
        <v>796.25</v>
      </c>
      <c r="F32" s="9">
        <v>7.4850000000000003</v>
      </c>
      <c r="G32" s="9">
        <v>535.75</v>
      </c>
      <c r="H32" s="9">
        <v>1335.25</v>
      </c>
      <c r="I32" s="9">
        <v>365.4</v>
      </c>
      <c r="J32" s="9">
        <v>70.349999999999994</v>
      </c>
      <c r="K32" s="9">
        <v>5086</v>
      </c>
      <c r="L32" s="9">
        <v>10031</v>
      </c>
      <c r="M32" s="9">
        <v>3374</v>
      </c>
      <c r="N32" s="9">
        <v>8960</v>
      </c>
      <c r="O32" s="9">
        <v>2330</v>
      </c>
      <c r="P32" s="9">
        <v>10101</v>
      </c>
      <c r="Q32" s="9">
        <v>558.5</v>
      </c>
      <c r="R32" s="9">
        <v>840.9</v>
      </c>
      <c r="S32" s="9">
        <v>2.105</v>
      </c>
      <c r="T32" s="9">
        <v>4.7351999999999999</v>
      </c>
      <c r="U32" s="10">
        <v>1391.75</v>
      </c>
      <c r="V32">
        <v>95.51</v>
      </c>
    </row>
    <row r="33" spans="1:22" x14ac:dyDescent="0.25">
      <c r="A33" s="11"/>
      <c r="B33" s="12"/>
      <c r="C33" s="18">
        <v>46279</v>
      </c>
      <c r="D33" s="9">
        <v>722</v>
      </c>
      <c r="E33" s="9">
        <v>792.5</v>
      </c>
      <c r="F33" s="9">
        <v>7.3624999999999998</v>
      </c>
      <c r="G33" s="9">
        <v>533.25</v>
      </c>
      <c r="H33" s="9">
        <v>1320.25</v>
      </c>
      <c r="I33" s="9">
        <v>356.2</v>
      </c>
      <c r="J33" s="9">
        <v>70.19</v>
      </c>
      <c r="K33" s="9">
        <v>5052</v>
      </c>
      <c r="L33" s="9">
        <v>10038</v>
      </c>
      <c r="M33" s="9">
        <v>3384</v>
      </c>
      <c r="N33" s="9">
        <v>9024</v>
      </c>
      <c r="O33" s="9">
        <v>2349</v>
      </c>
      <c r="P33" s="9">
        <v>10192</v>
      </c>
      <c r="Q33" s="9">
        <v>555.5</v>
      </c>
      <c r="R33" s="9">
        <v>834.3</v>
      </c>
      <c r="S33" s="9">
        <v>2.0699999999999998</v>
      </c>
      <c r="T33" s="9">
        <v>4.54</v>
      </c>
      <c r="U33" s="10">
        <v>1320.25</v>
      </c>
      <c r="V33">
        <v>92.6</v>
      </c>
    </row>
    <row r="34" spans="1:22" x14ac:dyDescent="0.25">
      <c r="A34" s="8"/>
      <c r="B34" s="9"/>
      <c r="C34" s="18">
        <v>46276</v>
      </c>
      <c r="D34" s="9">
        <v>725.25</v>
      </c>
      <c r="E34" s="9">
        <v>798.5</v>
      </c>
      <c r="F34" s="9">
        <v>7.45</v>
      </c>
      <c r="G34" s="9">
        <v>530.25</v>
      </c>
      <c r="H34" s="9">
        <v>1312</v>
      </c>
      <c r="I34" s="9">
        <v>352.8</v>
      </c>
      <c r="J34" s="9">
        <v>69.680000000000007</v>
      </c>
      <c r="K34" s="9">
        <v>5056</v>
      </c>
      <c r="L34" s="9">
        <v>10151</v>
      </c>
      <c r="M34" s="9">
        <v>3422</v>
      </c>
      <c r="N34" s="9">
        <v>9103</v>
      </c>
      <c r="O34" s="9">
        <v>2369</v>
      </c>
      <c r="P34" s="9">
        <v>10226</v>
      </c>
      <c r="Q34" s="9">
        <v>553</v>
      </c>
      <c r="R34" s="9">
        <v>827.1</v>
      </c>
      <c r="S34" s="9">
        <v>2.0649999999999999</v>
      </c>
      <c r="T34" s="9">
        <v>4.5583999999999998</v>
      </c>
      <c r="U34" s="10">
        <v>1320.5</v>
      </c>
      <c r="V34">
        <v>91.43</v>
      </c>
    </row>
    <row r="35" spans="1:22" x14ac:dyDescent="0.25">
      <c r="A35" s="11"/>
      <c r="B35" s="12"/>
      <c r="C35" s="18">
        <v>46275</v>
      </c>
      <c r="D35" s="9">
        <v>741.25</v>
      </c>
      <c r="E35" s="9">
        <v>818.75</v>
      </c>
      <c r="F35" s="9">
        <v>7.625</v>
      </c>
      <c r="G35" s="9">
        <v>533.75</v>
      </c>
      <c r="H35" s="9">
        <v>1347.25</v>
      </c>
      <c r="I35" s="9">
        <v>356.9</v>
      </c>
      <c r="J35" s="9">
        <v>71.92</v>
      </c>
      <c r="K35" s="9">
        <v>5154</v>
      </c>
      <c r="L35" s="9">
        <v>10177</v>
      </c>
      <c r="M35" s="9">
        <v>3399</v>
      </c>
      <c r="N35" s="9">
        <v>9054</v>
      </c>
      <c r="O35" s="9">
        <v>2358</v>
      </c>
      <c r="P35" s="9">
        <v>10248</v>
      </c>
      <c r="Q35" s="9">
        <v>559.25</v>
      </c>
      <c r="R35" s="9">
        <v>849.4</v>
      </c>
      <c r="S35" s="9">
        <v>2.06</v>
      </c>
      <c r="T35" s="9">
        <v>4.6271000000000004</v>
      </c>
      <c r="U35" s="10">
        <v>1323.25</v>
      </c>
      <c r="V35">
        <v>93.93</v>
      </c>
    </row>
    <row r="36" spans="1:22" x14ac:dyDescent="0.25">
      <c r="A36" s="8"/>
      <c r="B36" s="9"/>
      <c r="C36" s="18">
        <v>46274</v>
      </c>
      <c r="D36" s="9">
        <v>728.75</v>
      </c>
      <c r="E36" s="9">
        <v>806.25</v>
      </c>
      <c r="F36" s="9">
        <v>7.48</v>
      </c>
      <c r="G36" s="9">
        <v>527.75</v>
      </c>
      <c r="H36" s="9">
        <v>1325.25</v>
      </c>
      <c r="I36" s="9">
        <v>351.4</v>
      </c>
      <c r="J36" s="9">
        <v>70.569999999999993</v>
      </c>
      <c r="K36" s="9">
        <v>5220</v>
      </c>
      <c r="L36" s="9">
        <v>10306</v>
      </c>
      <c r="M36" s="9">
        <v>3397</v>
      </c>
      <c r="N36" s="9">
        <v>9122</v>
      </c>
      <c r="O36" s="9">
        <v>2376</v>
      </c>
      <c r="P36" s="9">
        <v>10392</v>
      </c>
      <c r="Q36" s="9">
        <v>559</v>
      </c>
      <c r="R36" s="9">
        <v>841.2</v>
      </c>
      <c r="S36" s="9">
        <v>2.0299999999999998</v>
      </c>
      <c r="T36" s="9">
        <v>4.4345999999999997</v>
      </c>
      <c r="U36" s="10">
        <v>1257.75</v>
      </c>
      <c r="V36">
        <v>89.32</v>
      </c>
    </row>
    <row r="37" spans="1:22" x14ac:dyDescent="0.25">
      <c r="A37" s="11"/>
      <c r="B37" s="12"/>
      <c r="C37" s="18">
        <v>46273</v>
      </c>
      <c r="D37" s="9">
        <v>747</v>
      </c>
      <c r="E37" s="9">
        <v>819</v>
      </c>
      <c r="F37" s="9">
        <v>7.54</v>
      </c>
      <c r="G37" s="9">
        <v>533.5</v>
      </c>
      <c r="H37" s="9">
        <v>1332</v>
      </c>
      <c r="I37" s="9">
        <v>349.8</v>
      </c>
      <c r="J37" s="9">
        <v>70.7</v>
      </c>
      <c r="K37" s="9">
        <v>5224</v>
      </c>
      <c r="L37" s="9">
        <v>10421</v>
      </c>
      <c r="M37" s="9">
        <v>3415</v>
      </c>
      <c r="N37" s="9">
        <v>9210</v>
      </c>
      <c r="O37" s="9">
        <v>2398</v>
      </c>
      <c r="P37" s="9">
        <v>10377</v>
      </c>
      <c r="Q37" s="9">
        <v>558.75</v>
      </c>
      <c r="R37" s="9">
        <v>848.3</v>
      </c>
      <c r="S37" s="9">
        <v>2.0550000000000002</v>
      </c>
      <c r="T37" s="9">
        <v>4.2526999999999999</v>
      </c>
      <c r="U37" s="10">
        <v>1225</v>
      </c>
      <c r="V37">
        <v>87.14</v>
      </c>
    </row>
    <row r="38" spans="1:22" x14ac:dyDescent="0.25">
      <c r="A38" s="8"/>
      <c r="B38" s="9"/>
      <c r="C38" s="18">
        <v>46272</v>
      </c>
      <c r="D38" s="9"/>
      <c r="E38" s="9"/>
      <c r="F38" s="9"/>
      <c r="G38" s="9"/>
      <c r="H38" s="9"/>
      <c r="I38" s="9"/>
      <c r="J38" s="9"/>
      <c r="K38" s="9">
        <v>5214</v>
      </c>
      <c r="L38" s="9">
        <v>10264</v>
      </c>
      <c r="M38" s="9">
        <v>3404</v>
      </c>
      <c r="N38" s="9">
        <v>9142</v>
      </c>
      <c r="O38" s="9">
        <v>2400</v>
      </c>
      <c r="P38" s="9">
        <v>10238</v>
      </c>
      <c r="Q38" s="9">
        <v>556.5</v>
      </c>
      <c r="R38" s="9"/>
      <c r="S38" s="9"/>
      <c r="T38" s="9"/>
      <c r="U38" s="10">
        <v>1237.25</v>
      </c>
    </row>
    <row r="39" spans="1:22" x14ac:dyDescent="0.25">
      <c r="A39" s="11"/>
      <c r="B39" s="12"/>
      <c r="C39" s="18">
        <v>46269</v>
      </c>
      <c r="D39" s="9">
        <v>734</v>
      </c>
      <c r="E39" s="9">
        <v>802.25</v>
      </c>
      <c r="F39" s="9">
        <v>7.45</v>
      </c>
      <c r="G39" s="9">
        <v>536.75</v>
      </c>
      <c r="H39" s="9">
        <v>1325</v>
      </c>
      <c r="I39" s="9">
        <v>355.1</v>
      </c>
      <c r="J39" s="9">
        <v>69.27</v>
      </c>
      <c r="K39" s="9">
        <v>5155</v>
      </c>
      <c r="L39" s="9">
        <v>10212</v>
      </c>
      <c r="M39" s="9">
        <v>3402</v>
      </c>
      <c r="N39" s="9">
        <v>9144</v>
      </c>
      <c r="O39" s="9">
        <v>2397</v>
      </c>
      <c r="P39" s="9">
        <v>10152</v>
      </c>
      <c r="Q39" s="9">
        <v>553.5</v>
      </c>
      <c r="R39" s="9">
        <v>832.7</v>
      </c>
      <c r="S39" s="9">
        <v>2.08</v>
      </c>
      <c r="T39" s="9">
        <v>4.2091000000000003</v>
      </c>
      <c r="U39" s="10">
        <v>1200</v>
      </c>
      <c r="V39">
        <v>85.46</v>
      </c>
    </row>
    <row r="40" spans="1:22" x14ac:dyDescent="0.25">
      <c r="A40" s="8"/>
      <c r="B40" s="9"/>
      <c r="C40" s="18">
        <v>46268</v>
      </c>
      <c r="D40" s="9">
        <v>754.25</v>
      </c>
      <c r="E40" s="9">
        <v>815.5</v>
      </c>
      <c r="F40" s="9">
        <v>7.6550000000000002</v>
      </c>
      <c r="G40" s="9">
        <v>540.75</v>
      </c>
      <c r="H40" s="9">
        <v>1331.5</v>
      </c>
      <c r="I40" s="9">
        <v>355.5</v>
      </c>
      <c r="J40" s="9">
        <v>70.040000000000006</v>
      </c>
      <c r="K40" s="9">
        <v>5107</v>
      </c>
      <c r="L40" s="9">
        <v>10270</v>
      </c>
      <c r="M40" s="9">
        <v>3386</v>
      </c>
      <c r="N40" s="9">
        <v>9182</v>
      </c>
      <c r="O40" s="9">
        <v>2393</v>
      </c>
      <c r="P40" s="9">
        <v>10226</v>
      </c>
      <c r="Q40" s="9">
        <v>553</v>
      </c>
      <c r="R40" s="9">
        <v>839.5</v>
      </c>
      <c r="S40" s="9">
        <v>2.0950000000000002</v>
      </c>
      <c r="T40" s="9">
        <v>4.2398999999999996</v>
      </c>
      <c r="U40" s="10">
        <v>1218.5</v>
      </c>
      <c r="V40">
        <v>84.79</v>
      </c>
    </row>
    <row r="41" spans="1:22" x14ac:dyDescent="0.25">
      <c r="A41" s="11"/>
      <c r="B41" s="12"/>
      <c r="C41" s="18">
        <v>46267</v>
      </c>
      <c r="D41" s="9">
        <v>774</v>
      </c>
      <c r="E41" s="9">
        <v>834.25</v>
      </c>
      <c r="F41" s="9">
        <v>7.82</v>
      </c>
      <c r="G41" s="9">
        <v>543.5</v>
      </c>
      <c r="H41" s="9">
        <v>1325</v>
      </c>
      <c r="I41" s="9">
        <v>349.6</v>
      </c>
      <c r="J41" s="9">
        <v>70.959999999999994</v>
      </c>
      <c r="K41" s="9">
        <v>5148</v>
      </c>
      <c r="L41" s="9">
        <v>10262</v>
      </c>
      <c r="M41" s="9">
        <v>3376</v>
      </c>
      <c r="N41" s="9">
        <v>9135</v>
      </c>
      <c r="O41" s="9">
        <v>2379</v>
      </c>
      <c r="P41" s="9">
        <v>10279</v>
      </c>
      <c r="Q41" s="9">
        <v>554.5</v>
      </c>
      <c r="R41" s="9">
        <v>835.9</v>
      </c>
      <c r="S41" s="9">
        <v>2.085</v>
      </c>
      <c r="T41" s="9">
        <v>4.2958999999999996</v>
      </c>
      <c r="U41" s="10">
        <v>1221.25</v>
      </c>
      <c r="V41">
        <v>85.25</v>
      </c>
    </row>
    <row r="42" spans="1:22" x14ac:dyDescent="0.25">
      <c r="A42" s="8"/>
      <c r="B42" s="9"/>
      <c r="C42" s="18">
        <v>46266</v>
      </c>
      <c r="D42" s="9">
        <v>782.5</v>
      </c>
      <c r="E42" s="9">
        <v>845.25</v>
      </c>
      <c r="F42" s="9">
        <v>7.7675000000000001</v>
      </c>
      <c r="G42" s="9">
        <v>546</v>
      </c>
      <c r="H42" s="9">
        <v>1332.75</v>
      </c>
      <c r="I42" s="9">
        <v>352.6</v>
      </c>
      <c r="J42" s="9">
        <v>72.63</v>
      </c>
      <c r="K42" s="9">
        <v>5149</v>
      </c>
      <c r="L42" s="9">
        <v>10293</v>
      </c>
      <c r="M42" s="9">
        <v>3357</v>
      </c>
      <c r="N42" s="9">
        <v>9072</v>
      </c>
      <c r="O42" s="9">
        <v>2362</v>
      </c>
      <c r="P42" s="9">
        <v>10234</v>
      </c>
      <c r="Q42" s="9">
        <v>558.5</v>
      </c>
      <c r="R42" s="9">
        <v>852.3</v>
      </c>
      <c r="S42" s="9">
        <v>2.0750000000000002</v>
      </c>
      <c r="T42" s="9">
        <v>4.3085000000000004</v>
      </c>
      <c r="U42" s="10">
        <v>1207.75</v>
      </c>
      <c r="V42">
        <v>84.97</v>
      </c>
    </row>
    <row r="43" spans="1:22" x14ac:dyDescent="0.25">
      <c r="A43" s="11"/>
      <c r="B43" s="12"/>
      <c r="C43" s="18">
        <v>46265</v>
      </c>
      <c r="D43" s="9">
        <v>774</v>
      </c>
      <c r="E43" s="9">
        <v>838</v>
      </c>
      <c r="F43" s="9">
        <v>7.63</v>
      </c>
      <c r="G43" s="9">
        <v>537.75</v>
      </c>
      <c r="H43" s="9">
        <v>1303.25</v>
      </c>
      <c r="I43" s="9">
        <v>345.3</v>
      </c>
      <c r="J43" s="9">
        <v>71.12</v>
      </c>
      <c r="K43" s="9"/>
      <c r="L43" s="9">
        <v>10241</v>
      </c>
      <c r="M43" s="9">
        <v>3353</v>
      </c>
      <c r="N43" s="9">
        <v>9013</v>
      </c>
      <c r="O43" s="9">
        <v>2367</v>
      </c>
      <c r="P43" s="9">
        <v>10240</v>
      </c>
      <c r="Q43" s="9">
        <v>546.5</v>
      </c>
      <c r="R43" s="9">
        <v>823.3</v>
      </c>
      <c r="S43" s="9">
        <v>2.0449999999999999</v>
      </c>
      <c r="T43" s="9">
        <v>4.0753000000000004</v>
      </c>
      <c r="U43" s="10">
        <v>1157.25</v>
      </c>
      <c r="V43">
        <v>82.07</v>
      </c>
    </row>
    <row r="44" spans="1:22" x14ac:dyDescent="0.25">
      <c r="A44" s="8"/>
      <c r="B44" s="9"/>
      <c r="C44" s="18">
        <v>46262</v>
      </c>
      <c r="D44" s="9">
        <v>784</v>
      </c>
      <c r="E44" s="9">
        <v>844.25</v>
      </c>
      <c r="F44" s="9">
        <v>7.6924999999999999</v>
      </c>
      <c r="G44" s="9">
        <v>536.5</v>
      </c>
      <c r="H44" s="9">
        <v>1302.75</v>
      </c>
      <c r="I44" s="9">
        <v>348.9</v>
      </c>
      <c r="J44" s="9">
        <v>71.06</v>
      </c>
      <c r="K44" s="9">
        <v>5067</v>
      </c>
      <c r="L44" s="9">
        <v>10089</v>
      </c>
      <c r="M44" s="9">
        <v>3344</v>
      </c>
      <c r="N44" s="9">
        <v>8908</v>
      </c>
      <c r="O44" s="9">
        <v>2372</v>
      </c>
      <c r="P44" s="9">
        <v>10167</v>
      </c>
      <c r="Q44" s="9">
        <v>548.25</v>
      </c>
      <c r="R44" s="9">
        <v>833.2</v>
      </c>
      <c r="S44" s="9">
        <v>2.0375000000000001</v>
      </c>
      <c r="T44" s="9">
        <v>3.9420999999999999</v>
      </c>
      <c r="U44" s="10">
        <v>1117.25</v>
      </c>
      <c r="V44">
        <v>80</v>
      </c>
    </row>
    <row r="45" spans="1:22" x14ac:dyDescent="0.25">
      <c r="A45" s="11"/>
      <c r="B45" s="12"/>
      <c r="C45" s="18">
        <v>46261</v>
      </c>
      <c r="D45" s="9">
        <v>760.75</v>
      </c>
      <c r="E45" s="9">
        <v>822</v>
      </c>
      <c r="F45" s="9">
        <v>7.5774999999999997</v>
      </c>
      <c r="G45" s="9">
        <v>533.5</v>
      </c>
      <c r="H45" s="9">
        <v>1283</v>
      </c>
      <c r="I45" s="9">
        <v>340.9</v>
      </c>
      <c r="J45" s="9">
        <v>68.510000000000005</v>
      </c>
      <c r="K45" s="9">
        <v>4984</v>
      </c>
      <c r="L45" s="9">
        <v>10060</v>
      </c>
      <c r="M45" s="9">
        <v>3324</v>
      </c>
      <c r="N45" s="9">
        <v>8818</v>
      </c>
      <c r="O45" s="9">
        <v>2357</v>
      </c>
      <c r="P45" s="9">
        <v>10134</v>
      </c>
      <c r="Q45" s="9">
        <v>542.5</v>
      </c>
      <c r="R45" s="9">
        <v>813.6</v>
      </c>
      <c r="S45" s="9">
        <v>2.0074999999999998</v>
      </c>
      <c r="T45" s="9">
        <v>3.8963000000000001</v>
      </c>
      <c r="U45" s="10">
        <v>1090.5</v>
      </c>
      <c r="V45">
        <v>80.11</v>
      </c>
    </row>
    <row r="46" spans="1:22" x14ac:dyDescent="0.25">
      <c r="A46" s="8"/>
      <c r="B46" s="9"/>
      <c r="C46" s="18">
        <v>46260</v>
      </c>
      <c r="D46" s="9">
        <v>748.25</v>
      </c>
      <c r="E46" s="9">
        <v>808.75</v>
      </c>
      <c r="F46" s="9">
        <v>7.48</v>
      </c>
      <c r="G46" s="9">
        <v>536.5</v>
      </c>
      <c r="H46" s="9">
        <v>1280.75</v>
      </c>
      <c r="I46" s="9">
        <v>339.3</v>
      </c>
      <c r="J46" s="9">
        <v>67.739999999999995</v>
      </c>
      <c r="K46" s="9">
        <v>4996</v>
      </c>
      <c r="L46" s="9">
        <v>10039</v>
      </c>
      <c r="M46" s="9">
        <v>3266</v>
      </c>
      <c r="N46" s="9">
        <v>8760</v>
      </c>
      <c r="O46" s="9">
        <v>2306</v>
      </c>
      <c r="P46" s="9">
        <v>10105</v>
      </c>
      <c r="Q46" s="9">
        <v>541.5</v>
      </c>
      <c r="R46" s="9">
        <v>808.3</v>
      </c>
      <c r="S46" s="9">
        <v>2.0525000000000002</v>
      </c>
      <c r="T46" s="9">
        <v>3.8576000000000001</v>
      </c>
      <c r="U46" s="10">
        <v>1105.25</v>
      </c>
      <c r="V46">
        <v>79.27</v>
      </c>
    </row>
    <row r="47" spans="1:22" x14ac:dyDescent="0.25">
      <c r="A47" s="11"/>
      <c r="B47" s="12"/>
      <c r="C47" s="18">
        <v>46259</v>
      </c>
      <c r="D47" s="9">
        <v>703.25</v>
      </c>
      <c r="E47" s="9">
        <v>770.75</v>
      </c>
      <c r="F47" s="9">
        <v>7.2</v>
      </c>
      <c r="G47" s="9">
        <v>523.5</v>
      </c>
      <c r="H47" s="9">
        <v>1252.25</v>
      </c>
      <c r="I47" s="9">
        <v>329.2</v>
      </c>
      <c r="J47" s="9">
        <v>67.78</v>
      </c>
      <c r="K47" s="9"/>
      <c r="L47" s="9">
        <v>10064</v>
      </c>
      <c r="M47" s="9">
        <v>3228</v>
      </c>
      <c r="N47" s="9">
        <v>8748</v>
      </c>
      <c r="O47" s="9">
        <v>2267</v>
      </c>
      <c r="P47" s="9">
        <v>10112</v>
      </c>
      <c r="Q47" s="9">
        <v>536</v>
      </c>
      <c r="R47" s="9">
        <v>799.6</v>
      </c>
      <c r="S47" s="9">
        <v>2.0499999999999998</v>
      </c>
      <c r="T47" s="9">
        <v>3.8727999999999998</v>
      </c>
      <c r="U47" s="10">
        <v>1110.5</v>
      </c>
      <c r="V47">
        <v>79.150000000000006</v>
      </c>
    </row>
    <row r="48" spans="1:22" x14ac:dyDescent="0.25">
      <c r="A48" s="8"/>
      <c r="B48" s="9"/>
      <c r="C48" s="18">
        <v>46258</v>
      </c>
      <c r="D48" s="9">
        <v>699.5</v>
      </c>
      <c r="E48" s="9">
        <v>767.25</v>
      </c>
      <c r="F48" s="9">
        <v>7.2125000000000004</v>
      </c>
      <c r="G48" s="9">
        <v>515.5</v>
      </c>
      <c r="H48" s="9">
        <v>1238.25</v>
      </c>
      <c r="I48" s="9">
        <v>328.6</v>
      </c>
      <c r="J48" s="9">
        <v>67.31</v>
      </c>
      <c r="K48" s="9">
        <v>5064</v>
      </c>
      <c r="L48" s="9">
        <v>10178</v>
      </c>
      <c r="M48" s="9">
        <v>3240</v>
      </c>
      <c r="N48" s="9">
        <v>8811</v>
      </c>
      <c r="O48" s="9">
        <v>2275</v>
      </c>
      <c r="P48" s="9">
        <v>10248</v>
      </c>
      <c r="Q48" s="9">
        <v>524.75</v>
      </c>
      <c r="R48" s="9">
        <v>779.4</v>
      </c>
      <c r="S48" s="9">
        <v>2.105</v>
      </c>
      <c r="T48" s="9">
        <v>3.9138000000000002</v>
      </c>
      <c r="U48" s="10">
        <v>1127.25</v>
      </c>
      <c r="V48">
        <v>81.34</v>
      </c>
    </row>
    <row r="49" spans="1:22" x14ac:dyDescent="0.25">
      <c r="A49" s="11"/>
      <c r="B49" s="12"/>
      <c r="C49" s="18">
        <v>46255</v>
      </c>
      <c r="D49" s="9">
        <v>699.25</v>
      </c>
      <c r="E49" s="9">
        <v>772.5</v>
      </c>
      <c r="F49" s="9">
        <v>7.2450000000000001</v>
      </c>
      <c r="G49" s="9">
        <v>508.5</v>
      </c>
      <c r="H49" s="9">
        <v>1253.75</v>
      </c>
      <c r="I49" s="9">
        <v>325.8</v>
      </c>
      <c r="J49" s="9">
        <v>69.58</v>
      </c>
      <c r="K49" s="9">
        <v>5118</v>
      </c>
      <c r="L49" s="9">
        <v>10146</v>
      </c>
      <c r="M49" s="9">
        <v>3244</v>
      </c>
      <c r="N49" s="9">
        <v>8836</v>
      </c>
      <c r="O49" s="9">
        <v>2281</v>
      </c>
      <c r="P49" s="9">
        <v>10338</v>
      </c>
      <c r="Q49" s="9">
        <v>541.25</v>
      </c>
      <c r="R49" s="9">
        <v>808.4</v>
      </c>
      <c r="S49" s="9">
        <v>2.105</v>
      </c>
      <c r="T49" s="9">
        <v>4.0846999999999998</v>
      </c>
      <c r="U49" s="10">
        <v>1165.25</v>
      </c>
      <c r="V49">
        <v>83.02</v>
      </c>
    </row>
    <row r="50" spans="1:22" x14ac:dyDescent="0.25">
      <c r="A50" s="8"/>
      <c r="B50" s="9"/>
      <c r="C50" s="18">
        <v>46254</v>
      </c>
      <c r="D50" s="9">
        <v>700</v>
      </c>
      <c r="E50" s="9">
        <v>776.5</v>
      </c>
      <c r="F50" s="9">
        <v>7.2774999999999999</v>
      </c>
      <c r="G50" s="9">
        <v>503.5</v>
      </c>
      <c r="H50" s="9">
        <v>1251.5</v>
      </c>
      <c r="I50" s="9">
        <v>323.8</v>
      </c>
      <c r="J50" s="9">
        <v>71.319999999999993</v>
      </c>
      <c r="K50" s="9">
        <v>5070</v>
      </c>
      <c r="L50" s="9">
        <v>10082</v>
      </c>
      <c r="M50" s="9">
        <v>3264</v>
      </c>
      <c r="N50" s="9">
        <v>8809</v>
      </c>
      <c r="O50" s="9">
        <v>2304</v>
      </c>
      <c r="P50" s="9">
        <v>10400</v>
      </c>
      <c r="Q50" s="9">
        <v>547.25</v>
      </c>
      <c r="R50" s="9">
        <v>828.9</v>
      </c>
      <c r="S50" s="9">
        <v>2.0625</v>
      </c>
      <c r="T50" s="9">
        <v>4.0875000000000004</v>
      </c>
      <c r="U50" s="10">
        <v>1151</v>
      </c>
      <c r="V50">
        <v>82.67</v>
      </c>
    </row>
    <row r="51" spans="1:22" x14ac:dyDescent="0.25">
      <c r="A51" s="11"/>
      <c r="B51" s="12"/>
      <c r="C51" s="18">
        <v>46253</v>
      </c>
      <c r="D51" s="9">
        <v>697.5</v>
      </c>
      <c r="E51" s="9">
        <v>776.75</v>
      </c>
      <c r="F51" s="9">
        <v>7.2024999999999997</v>
      </c>
      <c r="G51" s="9">
        <v>498</v>
      </c>
      <c r="H51" s="9">
        <v>1251.25</v>
      </c>
      <c r="I51" s="9">
        <v>325.60000000000002</v>
      </c>
      <c r="J51" s="9">
        <v>69.959999999999994</v>
      </c>
      <c r="K51" s="9">
        <v>5033</v>
      </c>
      <c r="L51" s="9">
        <v>9970</v>
      </c>
      <c r="M51" s="9">
        <v>3246</v>
      </c>
      <c r="N51" s="9">
        <v>8722</v>
      </c>
      <c r="O51" s="9">
        <v>2292</v>
      </c>
      <c r="P51" s="9">
        <v>10219</v>
      </c>
      <c r="Q51" s="9">
        <v>553</v>
      </c>
      <c r="R51" s="9">
        <v>827.9</v>
      </c>
      <c r="S51" s="9">
        <v>2.0249999999999999</v>
      </c>
      <c r="T51" s="9">
        <v>4.0114000000000001</v>
      </c>
      <c r="U51" s="10">
        <v>1136.25</v>
      </c>
      <c r="V51">
        <v>81.069999999999993</v>
      </c>
    </row>
    <row r="52" spans="1:22" x14ac:dyDescent="0.25">
      <c r="A52" s="8"/>
      <c r="B52" s="9"/>
      <c r="C52" s="18">
        <v>46252</v>
      </c>
      <c r="D52" s="9">
        <v>681.25</v>
      </c>
      <c r="E52" s="9">
        <v>758.5</v>
      </c>
      <c r="F52" s="9">
        <v>7.0374999999999996</v>
      </c>
      <c r="G52" s="9">
        <v>488</v>
      </c>
      <c r="H52" s="9">
        <v>1231.5</v>
      </c>
      <c r="I52" s="9">
        <v>318.8</v>
      </c>
      <c r="J52" s="9">
        <v>69.63</v>
      </c>
      <c r="K52" s="9">
        <v>5007</v>
      </c>
      <c r="L52" s="9">
        <v>9896</v>
      </c>
      <c r="M52" s="9">
        <v>3218</v>
      </c>
      <c r="N52" s="9">
        <v>8644</v>
      </c>
      <c r="O52" s="9">
        <v>2270</v>
      </c>
      <c r="P52" s="9">
        <v>10198</v>
      </c>
      <c r="Q52" s="9">
        <v>547.5</v>
      </c>
      <c r="R52" s="9">
        <v>814.9</v>
      </c>
      <c r="S52" s="9">
        <v>2.0225</v>
      </c>
      <c r="T52" s="9">
        <v>4.0084</v>
      </c>
      <c r="U52" s="10">
        <v>1128</v>
      </c>
      <c r="V52">
        <v>81.2</v>
      </c>
    </row>
    <row r="53" spans="1:22" x14ac:dyDescent="0.25">
      <c r="A53" s="11"/>
      <c r="B53" s="12"/>
      <c r="C53" s="18">
        <v>46251</v>
      </c>
      <c r="D53" s="9">
        <v>689.25</v>
      </c>
      <c r="E53" s="9">
        <v>771.75</v>
      </c>
      <c r="F53" s="9">
        <v>7.03</v>
      </c>
      <c r="G53" s="9">
        <v>489.5</v>
      </c>
      <c r="H53" s="9">
        <v>1231</v>
      </c>
      <c r="I53" s="9">
        <v>318.7</v>
      </c>
      <c r="J53" s="9">
        <v>70.819999999999993</v>
      </c>
      <c r="K53" s="9">
        <v>4970</v>
      </c>
      <c r="L53" s="9">
        <v>9808</v>
      </c>
      <c r="M53" s="9">
        <v>3174</v>
      </c>
      <c r="N53" s="9">
        <v>8547</v>
      </c>
      <c r="O53" s="9">
        <v>2246</v>
      </c>
      <c r="P53" s="9">
        <v>10146</v>
      </c>
      <c r="Q53" s="9">
        <v>550.5</v>
      </c>
      <c r="R53" s="9">
        <v>836.3</v>
      </c>
      <c r="S53" s="9">
        <v>2.0125000000000002</v>
      </c>
      <c r="T53" s="9">
        <v>3.9882</v>
      </c>
      <c r="U53" s="10">
        <v>1105.25</v>
      </c>
      <c r="V53">
        <v>80.83</v>
      </c>
    </row>
    <row r="54" spans="1:22" x14ac:dyDescent="0.25">
      <c r="A54" s="8"/>
      <c r="B54" s="9"/>
      <c r="C54" s="18">
        <v>46248</v>
      </c>
      <c r="D54" s="9">
        <v>689.5</v>
      </c>
      <c r="E54" s="9">
        <v>767.75</v>
      </c>
      <c r="F54" s="9">
        <v>7.0425000000000004</v>
      </c>
      <c r="G54" s="9">
        <v>483.25</v>
      </c>
      <c r="H54" s="9">
        <v>1207.75</v>
      </c>
      <c r="I54" s="9">
        <v>316.3</v>
      </c>
      <c r="J54" s="9">
        <v>68.97</v>
      </c>
      <c r="K54" s="9">
        <v>4936</v>
      </c>
      <c r="L54" s="9">
        <v>9767</v>
      </c>
      <c r="M54" s="9">
        <v>3154</v>
      </c>
      <c r="N54" s="9">
        <v>8500</v>
      </c>
      <c r="O54" s="9">
        <v>2238</v>
      </c>
      <c r="P54" s="9">
        <v>10087</v>
      </c>
      <c r="Q54" s="9">
        <v>547.5</v>
      </c>
      <c r="R54" s="9">
        <v>826.4</v>
      </c>
      <c r="S54" s="9">
        <v>1.9950000000000001</v>
      </c>
      <c r="T54" s="9">
        <v>3.8681000000000001</v>
      </c>
      <c r="U54" s="10">
        <v>1079</v>
      </c>
      <c r="V54">
        <v>78.489999999999995</v>
      </c>
    </row>
    <row r="55" spans="1:22" x14ac:dyDescent="0.25">
      <c r="A55" s="11"/>
      <c r="B55" s="12"/>
      <c r="C55" s="18">
        <v>46247</v>
      </c>
      <c r="D55" s="9">
        <v>668.25</v>
      </c>
      <c r="E55" s="9">
        <v>734.75</v>
      </c>
      <c r="F55" s="9">
        <v>6.9375</v>
      </c>
      <c r="G55" s="9">
        <v>472</v>
      </c>
      <c r="H55" s="9">
        <v>1197.75</v>
      </c>
      <c r="I55" s="9">
        <v>314</v>
      </c>
      <c r="J55" s="9">
        <v>68.38</v>
      </c>
      <c r="K55" s="9">
        <v>4908</v>
      </c>
      <c r="L55" s="9">
        <v>9699</v>
      </c>
      <c r="M55" s="9">
        <v>3154</v>
      </c>
      <c r="N55" s="9">
        <v>8453</v>
      </c>
      <c r="O55" s="9">
        <v>2233</v>
      </c>
      <c r="P55" s="9">
        <v>9969</v>
      </c>
      <c r="Q55" s="9">
        <v>542.25</v>
      </c>
      <c r="R55" s="9">
        <v>811.1</v>
      </c>
      <c r="S55" s="9">
        <v>1.9550000000000001</v>
      </c>
      <c r="T55" s="9">
        <v>3.8410000000000002</v>
      </c>
      <c r="U55" s="10">
        <v>1086.75</v>
      </c>
      <c r="V55">
        <v>77.599999999999994</v>
      </c>
    </row>
    <row r="56" spans="1:22" x14ac:dyDescent="0.25">
      <c r="A56" s="8"/>
      <c r="B56" s="9"/>
      <c r="C56" s="18">
        <v>46246</v>
      </c>
      <c r="D56" s="9">
        <v>669.75</v>
      </c>
      <c r="E56" s="9">
        <v>737.75</v>
      </c>
      <c r="F56" s="9">
        <v>6.98</v>
      </c>
      <c r="G56" s="9">
        <v>480.75</v>
      </c>
      <c r="H56" s="9">
        <v>1199</v>
      </c>
      <c r="I56" s="9">
        <v>315.10000000000002</v>
      </c>
      <c r="J56" s="9">
        <v>68.760000000000005</v>
      </c>
      <c r="K56" s="9">
        <v>4872</v>
      </c>
      <c r="L56" s="9">
        <v>9696</v>
      </c>
      <c r="M56" s="9">
        <v>3131</v>
      </c>
      <c r="N56" s="9">
        <v>8443</v>
      </c>
      <c r="O56" s="9">
        <v>2227</v>
      </c>
      <c r="P56" s="9">
        <v>9935</v>
      </c>
      <c r="Q56" s="9">
        <v>538.25</v>
      </c>
      <c r="R56" s="9">
        <v>803.6</v>
      </c>
      <c r="S56" s="9">
        <v>1.9624999999999999</v>
      </c>
      <c r="T56" s="9">
        <v>3.8706</v>
      </c>
      <c r="U56" s="10">
        <v>1079.5</v>
      </c>
      <c r="V56">
        <v>78.790000000000006</v>
      </c>
    </row>
    <row r="57" spans="1:22" x14ac:dyDescent="0.25">
      <c r="A57" s="11"/>
      <c r="B57" s="12"/>
      <c r="C57" s="18">
        <v>46245</v>
      </c>
      <c r="D57" s="9">
        <v>648.25</v>
      </c>
      <c r="E57" s="9">
        <v>716</v>
      </c>
      <c r="F57" s="9">
        <v>6.8449999999999998</v>
      </c>
      <c r="G57" s="9">
        <v>460.5</v>
      </c>
      <c r="H57" s="9">
        <v>1184.25</v>
      </c>
      <c r="I57" s="9">
        <v>310.89999999999998</v>
      </c>
      <c r="J57" s="9">
        <v>68.12</v>
      </c>
      <c r="K57" s="9">
        <v>4906</v>
      </c>
      <c r="L57" s="9">
        <v>9743</v>
      </c>
      <c r="M57" s="9">
        <v>3139</v>
      </c>
      <c r="N57" s="9">
        <v>8460</v>
      </c>
      <c r="O57" s="9">
        <v>2234</v>
      </c>
      <c r="P57" s="9">
        <v>9961</v>
      </c>
      <c r="Q57" s="9">
        <v>536.25</v>
      </c>
      <c r="R57" s="9">
        <v>791.2</v>
      </c>
      <c r="S57" s="9">
        <v>1.9275</v>
      </c>
      <c r="T57" s="9">
        <v>3.8113999999999999</v>
      </c>
      <c r="U57" s="10">
        <v>1055.25</v>
      </c>
      <c r="V57">
        <v>78.58</v>
      </c>
    </row>
    <row r="58" spans="1:22" x14ac:dyDescent="0.25">
      <c r="A58" s="8"/>
      <c r="B58" s="9"/>
      <c r="C58" s="18">
        <v>46244</v>
      </c>
      <c r="D58" s="9">
        <v>659.25</v>
      </c>
      <c r="E58" s="9">
        <v>731.25</v>
      </c>
      <c r="F58" s="9">
        <v>6.95</v>
      </c>
      <c r="G58" s="9">
        <v>461.75</v>
      </c>
      <c r="H58" s="9">
        <v>1194.75</v>
      </c>
      <c r="I58" s="9">
        <v>311.60000000000002</v>
      </c>
      <c r="J58" s="9">
        <v>69.14</v>
      </c>
      <c r="K58" s="9">
        <v>4872</v>
      </c>
      <c r="L58" s="9">
        <v>9700</v>
      </c>
      <c r="M58" s="9">
        <v>3146</v>
      </c>
      <c r="N58" s="9">
        <v>8456</v>
      </c>
      <c r="O58" s="9">
        <v>2242</v>
      </c>
      <c r="P58" s="9">
        <v>9934</v>
      </c>
      <c r="Q58" s="9">
        <v>540.25</v>
      </c>
      <c r="R58" s="9">
        <v>804.8</v>
      </c>
      <c r="S58" s="9">
        <v>1.9424999999999999</v>
      </c>
      <c r="T58" s="9">
        <v>3.7948</v>
      </c>
      <c r="U58" s="10">
        <v>1055.25</v>
      </c>
      <c r="V58">
        <v>78.489999999999995</v>
      </c>
    </row>
    <row r="59" spans="1:22" x14ac:dyDescent="0.25">
      <c r="A59" s="11"/>
      <c r="B59" s="12"/>
      <c r="C59" s="18">
        <v>46241</v>
      </c>
      <c r="D59" s="9">
        <v>658.25</v>
      </c>
      <c r="E59" s="9">
        <v>730.5</v>
      </c>
      <c r="F59" s="9">
        <v>7.0225</v>
      </c>
      <c r="G59" s="9">
        <v>462</v>
      </c>
      <c r="H59" s="9">
        <v>1191.25</v>
      </c>
      <c r="I59" s="9">
        <v>313.39999999999998</v>
      </c>
      <c r="J59" s="9">
        <v>67.88</v>
      </c>
      <c r="K59" s="9">
        <v>4829</v>
      </c>
      <c r="L59" s="9">
        <v>9662</v>
      </c>
      <c r="M59" s="9">
        <v>3144</v>
      </c>
      <c r="N59" s="9">
        <v>8434</v>
      </c>
      <c r="O59" s="9">
        <v>2235</v>
      </c>
      <c r="P59" s="9">
        <v>9909</v>
      </c>
      <c r="Q59" s="9">
        <v>535</v>
      </c>
      <c r="R59" s="9">
        <v>788.8</v>
      </c>
      <c r="S59" s="9">
        <v>1.94</v>
      </c>
      <c r="T59" s="9">
        <v>3.5827</v>
      </c>
      <c r="U59" s="10">
        <v>1003.75</v>
      </c>
      <c r="V59">
        <v>74.64</v>
      </c>
    </row>
    <row r="60" spans="1:22" x14ac:dyDescent="0.25">
      <c r="A60" s="8"/>
      <c r="B60" s="9"/>
      <c r="C60" s="18">
        <v>46240</v>
      </c>
      <c r="D60" s="9">
        <v>650.5</v>
      </c>
      <c r="E60" s="9">
        <v>717.5</v>
      </c>
      <c r="F60" s="9">
        <v>6.9424999999999999</v>
      </c>
      <c r="G60" s="9">
        <v>462</v>
      </c>
      <c r="H60" s="9">
        <v>1192.75</v>
      </c>
      <c r="I60" s="9">
        <v>316.60000000000002</v>
      </c>
      <c r="J60" s="9">
        <v>67.37</v>
      </c>
      <c r="K60" s="9">
        <v>4815</v>
      </c>
      <c r="L60" s="9">
        <v>9685</v>
      </c>
      <c r="M60" s="9">
        <v>3121</v>
      </c>
      <c r="N60" s="9">
        <v>8420</v>
      </c>
      <c r="O60" s="9">
        <v>2233</v>
      </c>
      <c r="P60" s="9">
        <v>9875</v>
      </c>
      <c r="Q60" s="9">
        <v>528.25</v>
      </c>
      <c r="R60" s="9">
        <v>779</v>
      </c>
      <c r="S60" s="9">
        <v>1.91</v>
      </c>
      <c r="T60" s="9">
        <v>3.5331000000000001</v>
      </c>
      <c r="U60" s="10">
        <v>978</v>
      </c>
      <c r="V60">
        <v>73.599999999999994</v>
      </c>
    </row>
    <row r="61" spans="1:22" x14ac:dyDescent="0.25">
      <c r="A61" s="11"/>
      <c r="B61" s="12"/>
      <c r="C61" s="18">
        <v>46239</v>
      </c>
      <c r="D61" s="9">
        <v>661.25</v>
      </c>
      <c r="E61" s="9">
        <v>731</v>
      </c>
      <c r="F61" s="9">
        <v>7.08</v>
      </c>
      <c r="G61" s="9">
        <v>460</v>
      </c>
      <c r="H61" s="9">
        <v>1189.75</v>
      </c>
      <c r="I61" s="9">
        <v>315.60000000000002</v>
      </c>
      <c r="J61" s="9">
        <v>67.17</v>
      </c>
      <c r="K61" s="9">
        <v>4817</v>
      </c>
      <c r="L61" s="9">
        <v>9653</v>
      </c>
      <c r="M61" s="9">
        <v>3118</v>
      </c>
      <c r="N61" s="9">
        <v>8417</v>
      </c>
      <c r="O61" s="9">
        <v>2235</v>
      </c>
      <c r="P61" s="9">
        <v>9843</v>
      </c>
      <c r="Q61" s="9">
        <v>524.75</v>
      </c>
      <c r="R61" s="9">
        <v>775.7</v>
      </c>
      <c r="S61" s="9">
        <v>1.9</v>
      </c>
      <c r="T61" s="9">
        <v>3.4649000000000001</v>
      </c>
      <c r="U61" s="10">
        <v>973</v>
      </c>
      <c r="V61">
        <v>71.87</v>
      </c>
    </row>
    <row r="62" spans="1:22" x14ac:dyDescent="0.25">
      <c r="A62" s="8"/>
      <c r="B62" s="9"/>
      <c r="C62" s="18">
        <v>46238</v>
      </c>
      <c r="D62" s="9">
        <v>657.25</v>
      </c>
      <c r="E62" s="9">
        <v>724.5</v>
      </c>
      <c r="F62" s="9">
        <v>7.0925000000000002</v>
      </c>
      <c r="G62" s="9">
        <v>465.5</v>
      </c>
      <c r="H62" s="9">
        <v>1193.25</v>
      </c>
      <c r="I62" s="9">
        <v>318.39999999999998</v>
      </c>
      <c r="J62" s="9">
        <v>67.52</v>
      </c>
      <c r="K62" s="9">
        <v>4794</v>
      </c>
      <c r="L62" s="9">
        <v>9581</v>
      </c>
      <c r="M62" s="9">
        <v>3131</v>
      </c>
      <c r="N62" s="9">
        <v>8430</v>
      </c>
      <c r="O62" s="9">
        <v>2242</v>
      </c>
      <c r="P62" s="9">
        <v>9825</v>
      </c>
      <c r="Q62" s="9">
        <v>520</v>
      </c>
      <c r="R62" s="9">
        <v>770.7</v>
      </c>
      <c r="S62" s="9">
        <v>1.915</v>
      </c>
      <c r="T62" s="9">
        <v>3.4308000000000001</v>
      </c>
      <c r="U62" s="10">
        <v>959.75</v>
      </c>
      <c r="V62">
        <v>72.03</v>
      </c>
    </row>
    <row r="63" spans="1:22" x14ac:dyDescent="0.25">
      <c r="A63" s="11"/>
      <c r="B63" s="12"/>
      <c r="C63" s="18">
        <v>46237</v>
      </c>
      <c r="D63" s="9">
        <v>669.25</v>
      </c>
      <c r="E63" s="9">
        <v>734</v>
      </c>
      <c r="F63" s="9">
        <v>7.2</v>
      </c>
      <c r="G63" s="9">
        <v>472.5</v>
      </c>
      <c r="H63" s="9">
        <v>1207</v>
      </c>
      <c r="I63" s="9">
        <v>321.60000000000002</v>
      </c>
      <c r="J63" s="9">
        <v>68.14</v>
      </c>
      <c r="K63" s="9">
        <v>4727</v>
      </c>
      <c r="L63" s="9">
        <v>9561</v>
      </c>
      <c r="M63" s="9">
        <v>3126</v>
      </c>
      <c r="N63" s="9">
        <v>8398</v>
      </c>
      <c r="O63" s="9">
        <v>2242</v>
      </c>
      <c r="P63" s="9">
        <v>9759</v>
      </c>
      <c r="Q63" s="9">
        <v>523.5</v>
      </c>
      <c r="R63" s="9"/>
      <c r="S63" s="9">
        <v>1.9325000000000001</v>
      </c>
      <c r="T63" s="9">
        <v>3.5009000000000001</v>
      </c>
      <c r="U63" s="10">
        <v>989.5</v>
      </c>
      <c r="V63">
        <v>73.94</v>
      </c>
    </row>
    <row r="64" spans="1:22" x14ac:dyDescent="0.25">
      <c r="A64" s="8"/>
      <c r="B64" s="9"/>
      <c r="C64" s="18">
        <v>46234</v>
      </c>
      <c r="D64" s="9">
        <v>657.5</v>
      </c>
      <c r="E64" s="9">
        <v>723.75</v>
      </c>
      <c r="F64" s="9">
        <v>7.1449999999999996</v>
      </c>
      <c r="G64" s="9">
        <v>464</v>
      </c>
      <c r="H64" s="9">
        <v>1201.25</v>
      </c>
      <c r="I64" s="9">
        <v>321.2</v>
      </c>
      <c r="J64" s="9">
        <v>66.900000000000006</v>
      </c>
      <c r="K64" s="9">
        <v>4732</v>
      </c>
      <c r="L64" s="9">
        <v>9608</v>
      </c>
      <c r="M64" s="9">
        <v>3135</v>
      </c>
      <c r="N64" s="9">
        <v>8412</v>
      </c>
      <c r="O64" s="9">
        <v>2244</v>
      </c>
      <c r="P64" s="9">
        <v>9761</v>
      </c>
      <c r="Q64" s="9">
        <v>512.5</v>
      </c>
      <c r="R64" s="9">
        <v>767.5</v>
      </c>
      <c r="S64" s="9">
        <v>1.9125000000000001</v>
      </c>
      <c r="T64" s="9">
        <v>3.63</v>
      </c>
      <c r="U64" s="10">
        <v>1029.25</v>
      </c>
      <c r="V64">
        <v>76.44</v>
      </c>
    </row>
    <row r="65" spans="1:22" x14ac:dyDescent="0.25">
      <c r="A65" s="11"/>
      <c r="B65" s="12"/>
      <c r="C65" s="18">
        <v>46233</v>
      </c>
      <c r="D65" s="9">
        <v>681.5</v>
      </c>
      <c r="E65" s="9">
        <v>746.75</v>
      </c>
      <c r="F65" s="9">
        <v>7.3550000000000004</v>
      </c>
      <c r="G65" s="9">
        <v>468.5</v>
      </c>
      <c r="H65" s="9">
        <v>1203.5</v>
      </c>
      <c r="I65" s="9">
        <v>322.8</v>
      </c>
      <c r="J65" s="9">
        <v>67.290000000000006</v>
      </c>
      <c r="K65" s="9">
        <v>4770</v>
      </c>
      <c r="L65" s="9">
        <v>9628</v>
      </c>
      <c r="M65" s="9">
        <v>3141</v>
      </c>
      <c r="N65" s="9">
        <v>8424</v>
      </c>
      <c r="O65" s="9">
        <v>2256</v>
      </c>
      <c r="P65" s="9">
        <v>9784</v>
      </c>
      <c r="Q65" s="9">
        <v>527.25</v>
      </c>
      <c r="R65" s="9">
        <v>777.6</v>
      </c>
      <c r="S65" s="9">
        <v>1.92</v>
      </c>
      <c r="T65" s="9">
        <v>3.6084999999999998</v>
      </c>
      <c r="U65" s="10">
        <v>1009.75</v>
      </c>
      <c r="V65">
        <v>76.12</v>
      </c>
    </row>
    <row r="66" spans="1:22" x14ac:dyDescent="0.25">
      <c r="A66" s="8"/>
      <c r="B66" s="9"/>
      <c r="C66" s="18">
        <v>46232</v>
      </c>
      <c r="D66" s="9">
        <v>677.75</v>
      </c>
      <c r="E66" s="9">
        <v>740.75</v>
      </c>
      <c r="F66" s="9">
        <v>7.2824999999999998</v>
      </c>
      <c r="G66" s="9">
        <v>471.75</v>
      </c>
      <c r="H66" s="9">
        <v>1207.5</v>
      </c>
      <c r="I66" s="9">
        <v>323.5</v>
      </c>
      <c r="J66" s="9">
        <v>67.62</v>
      </c>
      <c r="K66" s="9">
        <v>4753</v>
      </c>
      <c r="L66" s="9">
        <v>9637</v>
      </c>
      <c r="M66" s="9">
        <v>3171</v>
      </c>
      <c r="N66" s="9">
        <v>8454</v>
      </c>
      <c r="O66" s="9">
        <v>2298</v>
      </c>
      <c r="P66" s="9">
        <v>9814</v>
      </c>
      <c r="Q66" s="9">
        <v>530.75</v>
      </c>
      <c r="R66" s="9">
        <v>780.9</v>
      </c>
      <c r="S66" s="9">
        <v>1.9275</v>
      </c>
      <c r="T66" s="9">
        <v>3.6737000000000002</v>
      </c>
      <c r="U66" s="10">
        <v>1018.5</v>
      </c>
      <c r="V66">
        <v>77.739999999999995</v>
      </c>
    </row>
    <row r="67" spans="1:22" x14ac:dyDescent="0.25">
      <c r="A67" s="11"/>
      <c r="B67" s="12"/>
      <c r="C67" s="18">
        <v>46231</v>
      </c>
      <c r="D67" s="9">
        <v>679.75</v>
      </c>
      <c r="E67" s="9">
        <v>742</v>
      </c>
      <c r="F67" s="9">
        <v>7.2525000000000004</v>
      </c>
      <c r="G67" s="9">
        <v>480.5</v>
      </c>
      <c r="H67" s="9">
        <v>1233.75</v>
      </c>
      <c r="I67" s="9">
        <v>327.8</v>
      </c>
      <c r="J67" s="9">
        <v>68.930000000000007</v>
      </c>
      <c r="K67" s="9">
        <v>4734</v>
      </c>
      <c r="L67" s="9">
        <v>9612</v>
      </c>
      <c r="M67" s="9">
        <v>3177</v>
      </c>
      <c r="N67" s="9">
        <v>8455</v>
      </c>
      <c r="O67" s="9">
        <v>2305</v>
      </c>
      <c r="P67" s="9">
        <v>9844</v>
      </c>
      <c r="Q67" s="9">
        <v>530.75</v>
      </c>
      <c r="R67" s="9">
        <v>792.2</v>
      </c>
      <c r="S67" s="9">
        <v>1.93</v>
      </c>
      <c r="T67" s="9">
        <v>3.5015000000000001</v>
      </c>
      <c r="U67" s="10">
        <v>967.5</v>
      </c>
      <c r="V67">
        <v>73.849999999999994</v>
      </c>
    </row>
    <row r="68" spans="1:22" x14ac:dyDescent="0.25">
      <c r="A68" s="8"/>
      <c r="B68" s="9"/>
      <c r="C68" s="18">
        <v>46230</v>
      </c>
      <c r="D68" s="9">
        <v>677.5</v>
      </c>
      <c r="E68" s="9">
        <v>745.5</v>
      </c>
      <c r="F68" s="9">
        <v>7.2850000000000001</v>
      </c>
      <c r="G68" s="9">
        <v>474</v>
      </c>
      <c r="H68" s="9">
        <v>1227.5</v>
      </c>
      <c r="I68" s="9">
        <v>324.10000000000002</v>
      </c>
      <c r="J68" s="9">
        <v>69.58</v>
      </c>
      <c r="K68" s="9">
        <v>4757</v>
      </c>
      <c r="L68" s="9">
        <v>9711</v>
      </c>
      <c r="M68" s="9">
        <v>3230</v>
      </c>
      <c r="N68" s="9">
        <v>8543</v>
      </c>
      <c r="O68" s="9">
        <v>2349</v>
      </c>
      <c r="P68" s="9">
        <v>10002</v>
      </c>
      <c r="Q68" s="9">
        <v>536.5</v>
      </c>
      <c r="R68" s="9">
        <v>799.7</v>
      </c>
      <c r="S68" s="9">
        <v>1.9125000000000001</v>
      </c>
      <c r="T68" s="9">
        <v>3.5548000000000002</v>
      </c>
      <c r="U68" s="10">
        <v>991.25</v>
      </c>
      <c r="V68">
        <v>76.53</v>
      </c>
    </row>
    <row r="69" spans="1:22" x14ac:dyDescent="0.25">
      <c r="A69" s="11"/>
      <c r="B69" s="12"/>
      <c r="C69" s="18">
        <v>46227</v>
      </c>
      <c r="D69" s="9">
        <v>695.5</v>
      </c>
      <c r="E69" s="9">
        <v>761.5</v>
      </c>
      <c r="F69" s="9">
        <v>7.3775000000000004</v>
      </c>
      <c r="G69" s="9">
        <v>487.5</v>
      </c>
      <c r="H69" s="9">
        <v>1266.5</v>
      </c>
      <c r="I69" s="9">
        <v>335.2</v>
      </c>
      <c r="J69" s="9">
        <v>72.010000000000005</v>
      </c>
      <c r="K69" s="9">
        <v>4800</v>
      </c>
      <c r="L69" s="9">
        <v>9817</v>
      </c>
      <c r="M69" s="9">
        <v>3246</v>
      </c>
      <c r="N69" s="9">
        <v>8610</v>
      </c>
      <c r="O69" s="9">
        <v>2356</v>
      </c>
      <c r="P69" s="9">
        <v>10132</v>
      </c>
      <c r="Q69" s="9">
        <v>550</v>
      </c>
      <c r="R69" s="9">
        <v>833.6</v>
      </c>
      <c r="S69" s="9">
        <v>1.93</v>
      </c>
      <c r="T69" s="9">
        <v>3.6389999999999998</v>
      </c>
      <c r="U69" s="10">
        <v>1003.5</v>
      </c>
      <c r="V69">
        <v>79.33</v>
      </c>
    </row>
    <row r="70" spans="1:22" x14ac:dyDescent="0.25">
      <c r="A70" s="8"/>
      <c r="B70" s="9"/>
      <c r="C70" s="18">
        <v>46226</v>
      </c>
      <c r="D70" s="9">
        <v>713.75</v>
      </c>
      <c r="E70" s="9">
        <v>775.75</v>
      </c>
      <c r="F70" s="9">
        <v>7.53</v>
      </c>
      <c r="G70" s="9">
        <v>487.5</v>
      </c>
      <c r="H70" s="9">
        <v>1257</v>
      </c>
      <c r="I70" s="9">
        <v>331.9</v>
      </c>
      <c r="J70" s="9">
        <v>72.98</v>
      </c>
      <c r="K70" s="9">
        <v>4793</v>
      </c>
      <c r="L70" s="9">
        <v>9714</v>
      </c>
      <c r="M70" s="9">
        <v>3237</v>
      </c>
      <c r="N70" s="9">
        <v>8526</v>
      </c>
      <c r="O70" s="9">
        <v>2325</v>
      </c>
      <c r="P70" s="9">
        <v>10009</v>
      </c>
      <c r="Q70" s="9">
        <v>561.75</v>
      </c>
      <c r="R70" s="9">
        <v>845.6</v>
      </c>
      <c r="S70" s="9">
        <v>1.9225000000000001</v>
      </c>
      <c r="T70" s="9">
        <v>3.7241</v>
      </c>
      <c r="U70" s="10">
        <v>1044.25</v>
      </c>
      <c r="V70">
        <v>80.099999999999994</v>
      </c>
    </row>
    <row r="71" spans="1:22" x14ac:dyDescent="0.25">
      <c r="A71" s="11"/>
      <c r="B71" s="12"/>
      <c r="C71" s="18">
        <v>46225</v>
      </c>
      <c r="D71" s="9">
        <v>722.75</v>
      </c>
      <c r="E71" s="9">
        <v>779</v>
      </c>
      <c r="F71" s="9">
        <v>7.5250000000000004</v>
      </c>
      <c r="G71" s="9">
        <v>484.75</v>
      </c>
      <c r="H71" s="9">
        <v>1252.75</v>
      </c>
      <c r="I71" s="9">
        <v>332.9</v>
      </c>
      <c r="J71" s="9">
        <v>72.819999999999993</v>
      </c>
      <c r="K71" s="9">
        <v>4711</v>
      </c>
      <c r="L71" s="9">
        <v>9546</v>
      </c>
      <c r="M71" s="9">
        <v>3198</v>
      </c>
      <c r="N71" s="9">
        <v>8488</v>
      </c>
      <c r="O71" s="9">
        <v>2298</v>
      </c>
      <c r="P71" s="9">
        <v>9887</v>
      </c>
      <c r="Q71" s="9">
        <v>555</v>
      </c>
      <c r="R71" s="9">
        <v>832.5</v>
      </c>
      <c r="S71" s="9">
        <v>1.9125000000000001</v>
      </c>
      <c r="T71" s="9">
        <v>3.6101000000000001</v>
      </c>
      <c r="U71" s="10">
        <v>1002.75</v>
      </c>
      <c r="V71">
        <v>78.64</v>
      </c>
    </row>
    <row r="72" spans="1:22" x14ac:dyDescent="0.25">
      <c r="A72" s="8"/>
      <c r="B72" s="9"/>
      <c r="C72" s="18">
        <v>46224</v>
      </c>
      <c r="D72" s="9">
        <v>696</v>
      </c>
      <c r="E72" s="9">
        <v>749.5</v>
      </c>
      <c r="F72" s="9">
        <v>7.2824999999999998</v>
      </c>
      <c r="G72" s="9">
        <v>475.25</v>
      </c>
      <c r="H72" s="9">
        <v>1236.75</v>
      </c>
      <c r="I72" s="9">
        <v>327.3</v>
      </c>
      <c r="J72" s="9">
        <v>71.63</v>
      </c>
      <c r="K72" s="9">
        <v>4709</v>
      </c>
      <c r="L72" s="9">
        <v>9573</v>
      </c>
      <c r="M72" s="9">
        <v>3195</v>
      </c>
      <c r="N72" s="9">
        <v>8560</v>
      </c>
      <c r="O72" s="9">
        <v>2284</v>
      </c>
      <c r="P72" s="9">
        <v>9951</v>
      </c>
      <c r="Q72" s="9">
        <v>552.5</v>
      </c>
      <c r="R72" s="9">
        <v>812.9</v>
      </c>
      <c r="S72" s="9">
        <v>1.9025000000000001</v>
      </c>
      <c r="T72" s="9">
        <v>3.573</v>
      </c>
      <c r="U72" s="10">
        <v>990.5</v>
      </c>
      <c r="V72">
        <v>78.239999999999995</v>
      </c>
    </row>
    <row r="73" spans="1:22" x14ac:dyDescent="0.25">
      <c r="A73" s="11"/>
      <c r="B73" s="12"/>
      <c r="C73" s="18">
        <v>46223</v>
      </c>
      <c r="D73" s="9">
        <v>691.5</v>
      </c>
      <c r="E73" s="9">
        <v>739</v>
      </c>
      <c r="F73" s="9">
        <v>7.1725000000000003</v>
      </c>
      <c r="G73" s="9">
        <v>473</v>
      </c>
      <c r="H73" s="9">
        <v>1240</v>
      </c>
      <c r="I73" s="9">
        <v>323.8</v>
      </c>
      <c r="J73" s="9">
        <v>72.13</v>
      </c>
      <c r="K73" s="9">
        <v>4735</v>
      </c>
      <c r="L73" s="9">
        <v>9623</v>
      </c>
      <c r="M73" s="9">
        <v>3157</v>
      </c>
      <c r="N73" s="9">
        <v>8581</v>
      </c>
      <c r="O73" s="9">
        <v>2260</v>
      </c>
      <c r="P73" s="9">
        <v>9936</v>
      </c>
      <c r="Q73" s="9">
        <v>556.25</v>
      </c>
      <c r="R73" s="9">
        <v>819.8</v>
      </c>
      <c r="S73" s="9">
        <v>1.9075</v>
      </c>
      <c r="T73" s="9">
        <v>3.5451000000000001</v>
      </c>
      <c r="U73" s="10">
        <v>976</v>
      </c>
      <c r="V73">
        <v>77.83</v>
      </c>
    </row>
    <row r="74" spans="1:22" x14ac:dyDescent="0.25">
      <c r="A74" s="8"/>
      <c r="B74" s="9"/>
      <c r="C74" s="18">
        <v>46220</v>
      </c>
      <c r="D74" s="9">
        <v>699.75</v>
      </c>
      <c r="E74" s="9">
        <v>746.75</v>
      </c>
      <c r="F74" s="9">
        <v>7.1675000000000004</v>
      </c>
      <c r="G74" s="9">
        <v>467.5</v>
      </c>
      <c r="H74" s="9">
        <v>1216.75</v>
      </c>
      <c r="I74" s="9">
        <v>318.5</v>
      </c>
      <c r="J74" s="9">
        <v>72.430000000000007</v>
      </c>
      <c r="K74" s="9">
        <v>4697</v>
      </c>
      <c r="L74" s="9">
        <v>9535</v>
      </c>
      <c r="M74" s="9">
        <v>3135</v>
      </c>
      <c r="N74" s="9">
        <v>8543</v>
      </c>
      <c r="O74" s="9">
        <v>2246</v>
      </c>
      <c r="P74" s="9">
        <v>9890</v>
      </c>
      <c r="Q74" s="9">
        <v>548</v>
      </c>
      <c r="R74" s="9">
        <v>803.8</v>
      </c>
      <c r="S74" s="9">
        <v>1.89</v>
      </c>
      <c r="T74" s="9">
        <v>3.5142000000000002</v>
      </c>
      <c r="U74" s="10">
        <v>968</v>
      </c>
      <c r="V74">
        <v>77.650000000000006</v>
      </c>
    </row>
    <row r="75" spans="1:22" x14ac:dyDescent="0.25">
      <c r="A75" s="11"/>
      <c r="B75" s="12"/>
      <c r="C75" s="18">
        <v>46219</v>
      </c>
      <c r="D75" s="9">
        <v>691</v>
      </c>
      <c r="E75" s="9">
        <v>731.25</v>
      </c>
      <c r="F75" s="9">
        <v>7.085</v>
      </c>
      <c r="G75" s="9">
        <v>464</v>
      </c>
      <c r="H75" s="9">
        <v>1209.5</v>
      </c>
      <c r="I75" s="9">
        <v>322.39999999999998</v>
      </c>
      <c r="J75" s="9">
        <v>70.569999999999993</v>
      </c>
      <c r="K75" s="9">
        <v>4701</v>
      </c>
      <c r="L75" s="9">
        <v>9552</v>
      </c>
      <c r="M75" s="9">
        <v>3139</v>
      </c>
      <c r="N75" s="9">
        <v>8575</v>
      </c>
      <c r="O75" s="9">
        <v>2257</v>
      </c>
      <c r="P75" s="9">
        <v>9897</v>
      </c>
      <c r="Q75" s="9">
        <v>544</v>
      </c>
      <c r="R75" s="9">
        <v>792.2</v>
      </c>
      <c r="S75" s="9">
        <v>1.8825000000000001</v>
      </c>
      <c r="T75" s="9">
        <v>3.4828999999999999</v>
      </c>
      <c r="U75" s="10">
        <v>957</v>
      </c>
      <c r="V75">
        <v>75.430000000000007</v>
      </c>
    </row>
    <row r="76" spans="1:22" x14ac:dyDescent="0.25">
      <c r="A76" s="8"/>
      <c r="B76" s="9"/>
      <c r="C76" s="18">
        <v>46218</v>
      </c>
      <c r="D76" s="9">
        <v>692</v>
      </c>
      <c r="E76" s="9">
        <v>733.25</v>
      </c>
      <c r="F76" s="9">
        <v>7.0549999999999997</v>
      </c>
      <c r="G76" s="9">
        <v>469.5</v>
      </c>
      <c r="H76" s="9">
        <v>1215.75</v>
      </c>
      <c r="I76" s="9">
        <v>320</v>
      </c>
      <c r="J76" s="9">
        <v>70.94</v>
      </c>
      <c r="K76" s="9">
        <v>4698</v>
      </c>
      <c r="L76" s="9">
        <v>9594</v>
      </c>
      <c r="M76" s="9">
        <v>3128</v>
      </c>
      <c r="N76" s="9">
        <v>8589</v>
      </c>
      <c r="O76" s="9">
        <v>2254</v>
      </c>
      <c r="P76" s="9">
        <v>9833</v>
      </c>
      <c r="Q76" s="9">
        <v>548</v>
      </c>
      <c r="R76" s="9">
        <v>801.4</v>
      </c>
      <c r="S76" s="9">
        <v>1.8975</v>
      </c>
      <c r="T76" s="9">
        <v>3.4499</v>
      </c>
      <c r="U76" s="10">
        <v>939.5</v>
      </c>
      <c r="V76">
        <v>75.88</v>
      </c>
    </row>
    <row r="77" spans="1:22" x14ac:dyDescent="0.25">
      <c r="A77" s="11"/>
      <c r="B77" s="12"/>
      <c r="C77" s="18">
        <v>46217</v>
      </c>
      <c r="D77" s="9">
        <v>659.75</v>
      </c>
      <c r="E77" s="9">
        <v>692.5</v>
      </c>
      <c r="F77" s="9">
        <v>6.7824999999999998</v>
      </c>
      <c r="G77" s="9">
        <v>460.5</v>
      </c>
      <c r="H77" s="9">
        <v>1205</v>
      </c>
      <c r="I77" s="9">
        <v>316.3</v>
      </c>
      <c r="J77" s="9">
        <v>70.680000000000007</v>
      </c>
      <c r="K77" s="9">
        <v>4700</v>
      </c>
      <c r="L77" s="9">
        <v>9579</v>
      </c>
      <c r="M77" s="9">
        <v>3120</v>
      </c>
      <c r="N77" s="9">
        <v>8583</v>
      </c>
      <c r="O77" s="9">
        <v>2249</v>
      </c>
      <c r="P77" s="9">
        <v>9817</v>
      </c>
      <c r="Q77" s="9">
        <v>539.25</v>
      </c>
      <c r="R77" s="9">
        <v>783.7</v>
      </c>
      <c r="S77" s="9">
        <v>1.895</v>
      </c>
      <c r="T77" s="9">
        <v>3.4521000000000002</v>
      </c>
      <c r="U77" s="10">
        <v>929.5</v>
      </c>
      <c r="V77">
        <v>75.34</v>
      </c>
    </row>
    <row r="78" spans="1:22" x14ac:dyDescent="0.25">
      <c r="A78" s="8"/>
      <c r="B78" s="9"/>
      <c r="C78" s="18">
        <v>46216</v>
      </c>
      <c r="D78" s="9">
        <v>650.5</v>
      </c>
      <c r="E78" s="9">
        <v>681.25</v>
      </c>
      <c r="F78" s="9">
        <v>6.7424999999999997</v>
      </c>
      <c r="G78" s="9">
        <v>463.25</v>
      </c>
      <c r="H78" s="9">
        <v>1208.75</v>
      </c>
      <c r="I78" s="9">
        <v>315</v>
      </c>
      <c r="J78" s="9">
        <v>71.16</v>
      </c>
      <c r="K78" s="9">
        <v>4665</v>
      </c>
      <c r="L78" s="9">
        <v>9555</v>
      </c>
      <c r="M78" s="9">
        <v>3124</v>
      </c>
      <c r="N78" s="9">
        <v>8566</v>
      </c>
      <c r="O78" s="9">
        <v>2261</v>
      </c>
      <c r="P78" s="9">
        <v>9797</v>
      </c>
      <c r="Q78" s="9">
        <v>541.5</v>
      </c>
      <c r="R78" s="9">
        <v>798.3</v>
      </c>
      <c r="S78" s="9">
        <v>1.9275</v>
      </c>
      <c r="T78" s="9">
        <v>3.3761000000000001</v>
      </c>
      <c r="U78" s="10">
        <v>909.5</v>
      </c>
      <c r="V78">
        <v>75.61</v>
      </c>
    </row>
    <row r="79" spans="1:22" x14ac:dyDescent="0.25">
      <c r="A79" s="11"/>
      <c r="B79" s="12"/>
      <c r="C79" s="18">
        <v>46213</v>
      </c>
      <c r="D79" s="9">
        <v>654.5</v>
      </c>
      <c r="E79" s="9">
        <v>690.25</v>
      </c>
      <c r="F79" s="9">
        <v>6.7424999999999997</v>
      </c>
      <c r="G79" s="9">
        <v>461</v>
      </c>
      <c r="H79" s="9">
        <v>1204.75</v>
      </c>
      <c r="I79" s="9">
        <v>318.7</v>
      </c>
      <c r="J79" s="9">
        <v>68.98</v>
      </c>
      <c r="K79" s="9">
        <v>4644</v>
      </c>
      <c r="L79" s="9">
        <v>9568</v>
      </c>
      <c r="M79" s="9">
        <v>3105</v>
      </c>
      <c r="N79" s="9">
        <v>8553</v>
      </c>
      <c r="O79" s="9">
        <v>2265</v>
      </c>
      <c r="P79" s="9">
        <v>9786</v>
      </c>
      <c r="Q79" s="9">
        <v>528.75</v>
      </c>
      <c r="R79" s="9">
        <v>787</v>
      </c>
      <c r="S79" s="9">
        <v>1.9225000000000001</v>
      </c>
      <c r="T79" s="9">
        <v>3.1859000000000002</v>
      </c>
      <c r="U79" s="10">
        <v>865</v>
      </c>
      <c r="V79">
        <v>70.62</v>
      </c>
    </row>
    <row r="80" spans="1:22" x14ac:dyDescent="0.25">
      <c r="A80" s="8"/>
      <c r="B80" s="9"/>
      <c r="C80" s="18">
        <v>46212</v>
      </c>
      <c r="D80" s="9">
        <v>634</v>
      </c>
      <c r="E80" s="9">
        <v>668.25</v>
      </c>
      <c r="F80" s="9">
        <v>6.6025</v>
      </c>
      <c r="G80" s="9">
        <v>452</v>
      </c>
      <c r="H80" s="9">
        <v>1195.75</v>
      </c>
      <c r="I80" s="9">
        <v>315.39999999999998</v>
      </c>
      <c r="J80" s="9">
        <v>68.62</v>
      </c>
      <c r="K80" s="9">
        <v>4716</v>
      </c>
      <c r="L80" s="9">
        <v>9662</v>
      </c>
      <c r="M80" s="9">
        <v>3107</v>
      </c>
      <c r="N80" s="9">
        <v>8596</v>
      </c>
      <c r="O80" s="9">
        <v>2261</v>
      </c>
      <c r="P80" s="9">
        <v>9797</v>
      </c>
      <c r="Q80" s="9">
        <v>528.75</v>
      </c>
      <c r="R80" s="9">
        <v>783</v>
      </c>
      <c r="S80" s="9">
        <v>1.895</v>
      </c>
      <c r="T80" s="9">
        <v>3.2094</v>
      </c>
      <c r="U80" s="10">
        <v>878.25</v>
      </c>
      <c r="V80">
        <v>70.790000000000006</v>
      </c>
    </row>
    <row r="81" spans="1:22" x14ac:dyDescent="0.25">
      <c r="A81" s="11"/>
      <c r="B81" s="12"/>
      <c r="C81" s="18">
        <v>46211</v>
      </c>
      <c r="D81" s="9">
        <v>623.25</v>
      </c>
      <c r="E81" s="9">
        <v>659.75</v>
      </c>
      <c r="F81" s="9">
        <v>6.5274999999999999</v>
      </c>
      <c r="G81" s="9">
        <v>456.25</v>
      </c>
      <c r="H81" s="9">
        <v>1205.75</v>
      </c>
      <c r="I81" s="9">
        <v>311.2</v>
      </c>
      <c r="J81" s="9">
        <v>69.52</v>
      </c>
      <c r="K81" s="9">
        <v>4717</v>
      </c>
      <c r="L81" s="9">
        <v>9616</v>
      </c>
      <c r="M81" s="9">
        <v>3106</v>
      </c>
      <c r="N81" s="9">
        <v>8582</v>
      </c>
      <c r="O81" s="9">
        <v>2256</v>
      </c>
      <c r="P81" s="9">
        <v>9771</v>
      </c>
      <c r="Q81" s="9">
        <v>532.75</v>
      </c>
      <c r="R81" s="9">
        <v>793.5</v>
      </c>
      <c r="S81" s="9">
        <v>1.895</v>
      </c>
      <c r="T81" s="9">
        <v>3.2791999999999999</v>
      </c>
      <c r="U81" s="10">
        <v>917.5</v>
      </c>
      <c r="V81">
        <v>71.72</v>
      </c>
    </row>
    <row r="82" spans="1:22" x14ac:dyDescent="0.25">
      <c r="A82" s="8"/>
      <c r="B82" s="9"/>
      <c r="C82" s="18">
        <v>46210</v>
      </c>
      <c r="D82" s="9">
        <v>633.75</v>
      </c>
      <c r="E82" s="9">
        <v>667.25</v>
      </c>
      <c r="F82" s="9">
        <v>6.5525000000000002</v>
      </c>
      <c r="G82" s="9">
        <v>464.25</v>
      </c>
      <c r="H82" s="9">
        <v>1210.75</v>
      </c>
      <c r="I82" s="9">
        <v>316.5</v>
      </c>
      <c r="J82" s="9">
        <v>67.27</v>
      </c>
      <c r="K82" s="9">
        <v>4648</v>
      </c>
      <c r="L82" s="9">
        <v>9580</v>
      </c>
      <c r="M82" s="9">
        <v>3093</v>
      </c>
      <c r="N82" s="9">
        <v>8535</v>
      </c>
      <c r="O82" s="9">
        <v>2256</v>
      </c>
      <c r="P82" s="9">
        <v>9705</v>
      </c>
      <c r="Q82" s="9">
        <v>523.5</v>
      </c>
      <c r="R82" s="9">
        <v>770.7</v>
      </c>
      <c r="S82" s="9">
        <v>1.89</v>
      </c>
      <c r="T82" s="9">
        <v>3.0600999999999998</v>
      </c>
      <c r="U82" s="10">
        <v>830.75</v>
      </c>
      <c r="V82">
        <v>69.73</v>
      </c>
    </row>
    <row r="83" spans="1:22" x14ac:dyDescent="0.25">
      <c r="A83" s="11"/>
      <c r="B83" s="12"/>
      <c r="C83" s="18">
        <v>46209</v>
      </c>
      <c r="D83" s="9">
        <v>628.5</v>
      </c>
      <c r="E83" s="9">
        <v>664.25</v>
      </c>
      <c r="F83" s="9">
        <v>6.51</v>
      </c>
      <c r="G83" s="9">
        <v>457.75</v>
      </c>
      <c r="H83" s="9">
        <v>1205.5</v>
      </c>
      <c r="I83" s="9">
        <v>313.5</v>
      </c>
      <c r="J83" s="9">
        <v>66.63</v>
      </c>
      <c r="K83" s="9">
        <v>4636</v>
      </c>
      <c r="L83" s="9">
        <v>9486</v>
      </c>
      <c r="M83" s="9">
        <v>3064</v>
      </c>
      <c r="N83" s="9">
        <v>8445</v>
      </c>
      <c r="O83" s="9">
        <v>2230</v>
      </c>
      <c r="P83" s="9">
        <v>9611</v>
      </c>
      <c r="Q83" s="9">
        <v>521.25</v>
      </c>
      <c r="R83" s="9">
        <v>766.1</v>
      </c>
      <c r="S83" s="9">
        <v>1.8875</v>
      </c>
      <c r="T83" s="9">
        <v>3.0367999999999999</v>
      </c>
      <c r="U83" s="10">
        <v>823.25</v>
      </c>
      <c r="V83">
        <v>68.430000000000007</v>
      </c>
    </row>
    <row r="84" spans="1:22" x14ac:dyDescent="0.25">
      <c r="A84" s="8"/>
      <c r="B84" s="9"/>
      <c r="C84" s="18">
        <v>46206</v>
      </c>
      <c r="D84" s="9"/>
      <c r="E84" s="9"/>
      <c r="F84" s="9"/>
      <c r="G84" s="9"/>
      <c r="H84" s="9"/>
      <c r="I84" s="9"/>
      <c r="J84" s="9"/>
      <c r="K84" s="9">
        <v>4583</v>
      </c>
      <c r="L84" s="9">
        <v>9430</v>
      </c>
      <c r="M84" s="9">
        <v>3033</v>
      </c>
      <c r="N84" s="9">
        <v>8390</v>
      </c>
      <c r="O84" s="9">
        <v>2217</v>
      </c>
      <c r="P84" s="9">
        <v>9523</v>
      </c>
      <c r="Q84" s="9">
        <v>515.25</v>
      </c>
      <c r="R84" s="9">
        <v>747.8</v>
      </c>
      <c r="S84" s="9"/>
      <c r="T84" s="9"/>
      <c r="U84" s="10">
        <v>806.75</v>
      </c>
    </row>
    <row r="85" spans="1:22" x14ac:dyDescent="0.25">
      <c r="A85" s="11"/>
      <c r="B85" s="12"/>
      <c r="C85" s="18">
        <v>46205</v>
      </c>
      <c r="D85" s="9">
        <v>614</v>
      </c>
      <c r="E85" s="9">
        <v>652.25</v>
      </c>
      <c r="F85" s="9">
        <v>6.4</v>
      </c>
      <c r="G85" s="9">
        <v>441.5</v>
      </c>
      <c r="H85" s="9">
        <v>1162.25</v>
      </c>
      <c r="I85" s="9">
        <v>304.39999999999998</v>
      </c>
      <c r="J85" s="9">
        <v>65.430000000000007</v>
      </c>
      <c r="K85" s="9">
        <v>4609</v>
      </c>
      <c r="L85" s="9">
        <v>9496</v>
      </c>
      <c r="M85" s="9">
        <v>3037</v>
      </c>
      <c r="N85" s="9">
        <v>8404</v>
      </c>
      <c r="O85" s="9">
        <v>2222</v>
      </c>
      <c r="P85" s="9">
        <v>9539</v>
      </c>
      <c r="Q85" s="9">
        <v>514.5</v>
      </c>
      <c r="R85" s="9">
        <v>745.4</v>
      </c>
      <c r="S85" s="9">
        <v>1.855</v>
      </c>
      <c r="T85" s="9">
        <v>2.9462999999999999</v>
      </c>
      <c r="U85" s="10">
        <v>793.5</v>
      </c>
      <c r="V85">
        <v>68.34</v>
      </c>
    </row>
    <row r="86" spans="1:22" x14ac:dyDescent="0.25">
      <c r="A86" s="8"/>
      <c r="B86" s="9"/>
      <c r="C86" s="18">
        <v>46204</v>
      </c>
      <c r="D86" s="9">
        <v>614.5</v>
      </c>
      <c r="E86" s="9">
        <v>649</v>
      </c>
      <c r="F86" s="9">
        <v>6.4175000000000004</v>
      </c>
      <c r="G86" s="9">
        <v>442.25</v>
      </c>
      <c r="H86" s="9">
        <v>1163.75</v>
      </c>
      <c r="I86" s="9">
        <v>304.7</v>
      </c>
      <c r="J86" s="9">
        <v>65.42</v>
      </c>
      <c r="K86" s="9">
        <v>4654</v>
      </c>
      <c r="L86" s="9">
        <v>9506</v>
      </c>
      <c r="M86" s="9">
        <v>3011</v>
      </c>
      <c r="N86" s="9">
        <v>8367</v>
      </c>
      <c r="O86" s="9">
        <v>2209</v>
      </c>
      <c r="P86" s="9">
        <v>9531</v>
      </c>
      <c r="Q86" s="9">
        <v>516.75</v>
      </c>
      <c r="R86" s="9"/>
      <c r="S86" s="9">
        <v>1.8374999999999999</v>
      </c>
      <c r="T86" s="9">
        <v>2.9590000000000001</v>
      </c>
      <c r="U86" s="10">
        <v>802</v>
      </c>
      <c r="V86">
        <v>68.13</v>
      </c>
    </row>
    <row r="87" spans="1:22" x14ac:dyDescent="0.25">
      <c r="A87" s="11"/>
      <c r="B87" s="12"/>
      <c r="C87" s="18">
        <v>46203</v>
      </c>
      <c r="D87" s="9">
        <v>604.5</v>
      </c>
      <c r="E87" s="9">
        <v>640.25</v>
      </c>
      <c r="F87" s="9">
        <v>6.3150000000000004</v>
      </c>
      <c r="G87" s="9">
        <v>436</v>
      </c>
      <c r="H87" s="9">
        <v>1158.75</v>
      </c>
      <c r="I87" s="9">
        <v>303.10000000000002</v>
      </c>
      <c r="J87" s="9">
        <v>65.349999999999994</v>
      </c>
      <c r="K87" s="9">
        <v>4638</v>
      </c>
      <c r="L87" s="9">
        <v>9570</v>
      </c>
      <c r="M87" s="9">
        <v>3008</v>
      </c>
      <c r="N87" s="9">
        <v>8408</v>
      </c>
      <c r="O87" s="9">
        <v>2218</v>
      </c>
      <c r="P87" s="9">
        <v>9647</v>
      </c>
      <c r="Q87" s="9">
        <v>512.75</v>
      </c>
      <c r="R87" s="9">
        <v>743.9</v>
      </c>
      <c r="S87" s="9">
        <v>1.83</v>
      </c>
      <c r="T87" s="9">
        <v>2.9624000000000001</v>
      </c>
      <c r="U87" s="10">
        <v>804.75</v>
      </c>
      <c r="V87">
        <v>68.349999999999994</v>
      </c>
    </row>
    <row r="88" spans="1:22" x14ac:dyDescent="0.25">
      <c r="A88" s="8"/>
      <c r="B88" s="9"/>
      <c r="C88" s="18">
        <v>46202</v>
      </c>
      <c r="D88" s="9">
        <v>597</v>
      </c>
      <c r="E88" s="9">
        <v>629.5</v>
      </c>
      <c r="F88" s="9">
        <v>6.2549999999999999</v>
      </c>
      <c r="G88" s="9">
        <v>430</v>
      </c>
      <c r="H88" s="9">
        <v>1153.5</v>
      </c>
      <c r="I88" s="9">
        <v>302.8</v>
      </c>
      <c r="J88" s="9">
        <v>66.650000000000006</v>
      </c>
      <c r="K88" s="9">
        <v>4671</v>
      </c>
      <c r="L88" s="9">
        <v>9565</v>
      </c>
      <c r="M88" s="9">
        <v>3021</v>
      </c>
      <c r="N88" s="9">
        <v>8418</v>
      </c>
      <c r="O88" s="9">
        <v>2240</v>
      </c>
      <c r="P88" s="9">
        <v>9654</v>
      </c>
      <c r="Q88" s="9">
        <v>519.25</v>
      </c>
      <c r="R88" s="9">
        <v>752.7</v>
      </c>
      <c r="S88" s="9">
        <v>1.8274999999999999</v>
      </c>
      <c r="T88" s="9">
        <v>2.9247999999999998</v>
      </c>
      <c r="U88" s="10">
        <v>794.75</v>
      </c>
      <c r="V88">
        <v>69.13</v>
      </c>
    </row>
    <row r="89" spans="1:22" x14ac:dyDescent="0.25">
      <c r="A89" s="11"/>
      <c r="B89" s="12"/>
      <c r="C89" s="18">
        <v>46199</v>
      </c>
      <c r="D89" s="9">
        <v>607.25</v>
      </c>
      <c r="E89" s="9">
        <v>634.5</v>
      </c>
      <c r="F89" s="9">
        <v>6.3025000000000002</v>
      </c>
      <c r="G89" s="9">
        <v>441.5</v>
      </c>
      <c r="H89" s="9">
        <v>1170.5</v>
      </c>
      <c r="I89" s="9">
        <v>304.5</v>
      </c>
      <c r="J89" s="9">
        <v>67.09</v>
      </c>
      <c r="K89" s="9">
        <v>4650</v>
      </c>
      <c r="L89" s="9">
        <v>9519</v>
      </c>
      <c r="M89" s="9">
        <v>3019</v>
      </c>
      <c r="N89" s="9">
        <v>8368</v>
      </c>
      <c r="O89" s="9">
        <v>2232</v>
      </c>
      <c r="P89" s="9">
        <v>9563</v>
      </c>
      <c r="Q89" s="9">
        <v>517.75</v>
      </c>
      <c r="R89" s="9">
        <v>753.4</v>
      </c>
      <c r="S89" s="9">
        <v>1.8425</v>
      </c>
      <c r="T89" s="9">
        <v>2.8618999999999999</v>
      </c>
      <c r="U89" s="10">
        <v>775</v>
      </c>
      <c r="V89">
        <v>67.900000000000006</v>
      </c>
    </row>
    <row r="90" spans="1:22" x14ac:dyDescent="0.25">
      <c r="A90" s="8"/>
      <c r="B90" s="9"/>
      <c r="C90" s="18">
        <v>46198</v>
      </c>
      <c r="D90" s="9">
        <v>618.25</v>
      </c>
      <c r="E90" s="9">
        <v>645.75</v>
      </c>
      <c r="F90" s="9">
        <v>6.3925000000000001</v>
      </c>
      <c r="G90" s="9">
        <v>443</v>
      </c>
      <c r="H90" s="9">
        <v>1171</v>
      </c>
      <c r="I90" s="9">
        <v>305</v>
      </c>
      <c r="J90" s="9">
        <v>67.19</v>
      </c>
      <c r="K90" s="9">
        <v>4642</v>
      </c>
      <c r="L90" s="9">
        <v>9421</v>
      </c>
      <c r="M90" s="9">
        <v>3001</v>
      </c>
      <c r="N90" s="9">
        <v>8302</v>
      </c>
      <c r="O90" s="9">
        <v>2222</v>
      </c>
      <c r="P90" s="9">
        <v>9529</v>
      </c>
      <c r="Q90" s="9">
        <v>523</v>
      </c>
      <c r="R90" s="9">
        <v>756.7</v>
      </c>
      <c r="S90" s="9">
        <v>1.8225</v>
      </c>
      <c r="T90" s="9">
        <v>2.9460999999999999</v>
      </c>
      <c r="U90" s="10">
        <v>797.75</v>
      </c>
      <c r="V90">
        <v>69.989999999999995</v>
      </c>
    </row>
    <row r="91" spans="1:22" x14ac:dyDescent="0.25">
      <c r="A91" s="11"/>
      <c r="B91" s="12"/>
      <c r="C91" s="18">
        <v>46197</v>
      </c>
      <c r="D91" s="9">
        <v>612.75</v>
      </c>
      <c r="E91" s="9">
        <v>640.75</v>
      </c>
      <c r="F91" s="9">
        <v>6.4050000000000002</v>
      </c>
      <c r="G91" s="9">
        <v>434.75</v>
      </c>
      <c r="H91" s="9">
        <v>1149</v>
      </c>
      <c r="I91" s="9">
        <v>300.10000000000002</v>
      </c>
      <c r="J91" s="9">
        <v>65.739999999999995</v>
      </c>
      <c r="K91" s="9">
        <v>4729</v>
      </c>
      <c r="L91" s="9">
        <v>9599</v>
      </c>
      <c r="M91" s="9">
        <v>3005</v>
      </c>
      <c r="N91" s="9">
        <v>8333</v>
      </c>
      <c r="O91" s="9">
        <v>2242</v>
      </c>
      <c r="P91" s="9">
        <v>9674</v>
      </c>
      <c r="Q91" s="9">
        <v>520.5</v>
      </c>
      <c r="R91" s="9">
        <v>753.6</v>
      </c>
      <c r="S91" s="9">
        <v>1.7849999999999999</v>
      </c>
      <c r="T91" s="9">
        <v>2.8942000000000001</v>
      </c>
      <c r="U91" s="10">
        <v>785.5</v>
      </c>
      <c r="V91">
        <v>68.510000000000005</v>
      </c>
    </row>
    <row r="92" spans="1:22" x14ac:dyDescent="0.25">
      <c r="A92" s="8"/>
      <c r="B92" s="9"/>
      <c r="C92" s="18">
        <v>46196</v>
      </c>
      <c r="D92" s="9">
        <v>613.75</v>
      </c>
      <c r="E92" s="9">
        <v>639.5</v>
      </c>
      <c r="F92" s="9">
        <v>6.4124999999999996</v>
      </c>
      <c r="G92" s="9">
        <v>437.25</v>
      </c>
      <c r="H92" s="9">
        <v>1156</v>
      </c>
      <c r="I92" s="9">
        <v>301.3</v>
      </c>
      <c r="J92" s="9">
        <v>66.58</v>
      </c>
      <c r="K92" s="9">
        <v>4753</v>
      </c>
      <c r="L92" s="9">
        <v>9644</v>
      </c>
      <c r="M92" s="9">
        <v>2992</v>
      </c>
      <c r="N92" s="9">
        <v>8315</v>
      </c>
      <c r="O92" s="9">
        <v>2221</v>
      </c>
      <c r="P92" s="9">
        <v>9642</v>
      </c>
      <c r="Q92" s="9">
        <v>521.5</v>
      </c>
      <c r="R92" s="9">
        <v>757.2</v>
      </c>
      <c r="S92" s="9">
        <v>1.7749999999999999</v>
      </c>
      <c r="T92" s="9">
        <v>2.9384000000000001</v>
      </c>
      <c r="U92" s="10">
        <v>801.5</v>
      </c>
      <c r="V92">
        <v>70.73</v>
      </c>
    </row>
    <row r="93" spans="1:22" x14ac:dyDescent="0.25">
      <c r="A93" s="11"/>
      <c r="B93" s="12"/>
      <c r="C93" s="18">
        <v>46195</v>
      </c>
      <c r="D93" s="9">
        <v>624</v>
      </c>
      <c r="E93" s="9">
        <v>654.25</v>
      </c>
      <c r="F93" s="9">
        <v>6.6150000000000002</v>
      </c>
      <c r="G93" s="9">
        <v>439.5</v>
      </c>
      <c r="H93" s="9">
        <v>1155.75</v>
      </c>
      <c r="I93" s="9">
        <v>303.39999999999998</v>
      </c>
      <c r="J93" s="9">
        <v>66.900000000000006</v>
      </c>
      <c r="K93" s="9">
        <v>4772</v>
      </c>
      <c r="L93" s="9">
        <v>9634</v>
      </c>
      <c r="M93" s="9">
        <v>2997</v>
      </c>
      <c r="N93" s="9">
        <v>8331</v>
      </c>
      <c r="O93" s="9">
        <v>2219</v>
      </c>
      <c r="P93" s="9">
        <v>9656</v>
      </c>
      <c r="Q93" s="9">
        <v>516.75</v>
      </c>
      <c r="R93" s="9">
        <v>751.7</v>
      </c>
      <c r="S93" s="9">
        <v>1.7825</v>
      </c>
      <c r="T93" s="9">
        <v>2.9146999999999998</v>
      </c>
      <c r="U93" s="10">
        <v>801.25</v>
      </c>
      <c r="V93">
        <v>70.989999999999995</v>
      </c>
    </row>
    <row r="94" spans="1:22" x14ac:dyDescent="0.25">
      <c r="A94" s="8"/>
      <c r="B94" s="9"/>
      <c r="C94" s="18">
        <v>46192</v>
      </c>
      <c r="D94" s="9"/>
      <c r="E94" s="9"/>
      <c r="F94" s="9"/>
      <c r="G94" s="9"/>
      <c r="H94" s="9"/>
      <c r="I94" s="9"/>
      <c r="J94" s="9"/>
      <c r="K94" s="9">
        <v>4728</v>
      </c>
      <c r="L94" s="9"/>
      <c r="M94" s="9"/>
      <c r="N94" s="9"/>
      <c r="O94" s="9"/>
      <c r="P94" s="9"/>
      <c r="Q94" s="9">
        <v>510.25</v>
      </c>
      <c r="R94" s="9">
        <v>741.2</v>
      </c>
      <c r="S94" s="9"/>
      <c r="T94" s="9"/>
      <c r="U94" s="10">
        <v>820.5</v>
      </c>
    </row>
    <row r="95" spans="1:22" x14ac:dyDescent="0.25">
      <c r="A95" s="11"/>
      <c r="B95" s="12"/>
      <c r="C95" s="18">
        <v>46191</v>
      </c>
      <c r="D95" s="9">
        <v>630.25</v>
      </c>
      <c r="E95" s="9">
        <v>665.75</v>
      </c>
      <c r="F95" s="9">
        <v>6.7050000000000001</v>
      </c>
      <c r="G95" s="9">
        <v>444</v>
      </c>
      <c r="H95" s="9">
        <v>1156.5</v>
      </c>
      <c r="I95" s="9">
        <v>303.3</v>
      </c>
      <c r="J95" s="9">
        <v>65.8</v>
      </c>
      <c r="K95" s="9">
        <v>4683</v>
      </c>
      <c r="L95" s="9">
        <v>9585</v>
      </c>
      <c r="M95" s="9">
        <v>3011</v>
      </c>
      <c r="N95" s="9">
        <v>8325</v>
      </c>
      <c r="O95" s="9">
        <v>2225</v>
      </c>
      <c r="P95" s="9">
        <v>9696</v>
      </c>
      <c r="Q95" s="9">
        <v>509</v>
      </c>
      <c r="R95" s="9">
        <v>742.2</v>
      </c>
      <c r="S95" s="9">
        <v>1.8125</v>
      </c>
      <c r="T95" s="9">
        <v>2.9483000000000001</v>
      </c>
      <c r="U95" s="10">
        <v>792.5</v>
      </c>
      <c r="V95">
        <v>72.489999999999995</v>
      </c>
    </row>
    <row r="96" spans="1:22" x14ac:dyDescent="0.25">
      <c r="A96" s="8"/>
      <c r="B96" s="9"/>
      <c r="C96" s="18">
        <v>46190</v>
      </c>
      <c r="D96" s="9">
        <v>636.75</v>
      </c>
      <c r="E96" s="9">
        <v>673.75</v>
      </c>
      <c r="F96" s="9">
        <v>6.7024999999999997</v>
      </c>
      <c r="G96" s="9">
        <v>448.75</v>
      </c>
      <c r="H96" s="9">
        <v>1163</v>
      </c>
      <c r="I96" s="9">
        <v>306.10000000000002</v>
      </c>
      <c r="J96" s="9">
        <v>67.17</v>
      </c>
      <c r="K96" s="9"/>
      <c r="L96" s="9">
        <v>9616</v>
      </c>
      <c r="M96" s="9">
        <v>3020</v>
      </c>
      <c r="N96" s="9">
        <v>8346</v>
      </c>
      <c r="O96" s="9">
        <v>2229</v>
      </c>
      <c r="P96" s="9">
        <v>9772</v>
      </c>
      <c r="Q96" s="9">
        <v>516</v>
      </c>
      <c r="R96" s="9">
        <v>755.1</v>
      </c>
      <c r="S96" s="9">
        <v>1.7875000000000001</v>
      </c>
      <c r="T96" s="9">
        <v>2.9929000000000001</v>
      </c>
      <c r="U96" s="10">
        <v>825.5</v>
      </c>
      <c r="V96">
        <v>72.569999999999993</v>
      </c>
    </row>
    <row r="97" spans="1:22" x14ac:dyDescent="0.25">
      <c r="A97" s="11"/>
      <c r="B97" s="12"/>
      <c r="C97" s="18">
        <v>46189</v>
      </c>
      <c r="D97" s="9">
        <v>621.75</v>
      </c>
      <c r="E97" s="9">
        <v>656.25</v>
      </c>
      <c r="F97" s="9">
        <v>6.5750000000000002</v>
      </c>
      <c r="G97" s="9">
        <v>442.5</v>
      </c>
      <c r="H97" s="9">
        <v>1160.25</v>
      </c>
      <c r="I97" s="9">
        <v>307.2</v>
      </c>
      <c r="J97" s="9">
        <v>68.040000000000006</v>
      </c>
      <c r="K97" s="9">
        <v>4682</v>
      </c>
      <c r="L97" s="9">
        <v>9519</v>
      </c>
      <c r="M97" s="9">
        <v>2997</v>
      </c>
      <c r="N97" s="9">
        <v>8279</v>
      </c>
      <c r="O97" s="9">
        <v>2214</v>
      </c>
      <c r="P97" s="9">
        <v>9770</v>
      </c>
      <c r="Q97" s="9">
        <v>515</v>
      </c>
      <c r="R97" s="9">
        <v>762.4</v>
      </c>
      <c r="S97" s="9">
        <v>1.7849999999999999</v>
      </c>
      <c r="T97" s="9">
        <v>2.9992999999999999</v>
      </c>
      <c r="U97" s="10">
        <v>826</v>
      </c>
      <c r="V97">
        <v>72.5</v>
      </c>
    </row>
    <row r="98" spans="1:22" x14ac:dyDescent="0.25">
      <c r="A98" s="8"/>
      <c r="B98" s="9"/>
      <c r="C98" s="18">
        <v>46188</v>
      </c>
      <c r="D98" s="9">
        <v>616.75</v>
      </c>
      <c r="E98" s="9">
        <v>658.5</v>
      </c>
      <c r="F98" s="9">
        <v>6.62</v>
      </c>
      <c r="G98" s="9">
        <v>441.75</v>
      </c>
      <c r="H98" s="9">
        <v>1149.5</v>
      </c>
      <c r="I98" s="9">
        <v>305.60000000000002</v>
      </c>
      <c r="J98" s="9">
        <v>69.31</v>
      </c>
      <c r="K98" s="9">
        <v>4595</v>
      </c>
      <c r="L98" s="9">
        <v>9507</v>
      </c>
      <c r="M98" s="9">
        <v>2999</v>
      </c>
      <c r="N98" s="9">
        <v>8290</v>
      </c>
      <c r="O98" s="9">
        <v>2214</v>
      </c>
      <c r="P98" s="9">
        <v>9803</v>
      </c>
      <c r="Q98" s="9">
        <v>519.25</v>
      </c>
      <c r="R98" s="9">
        <v>768.7</v>
      </c>
      <c r="S98" s="9">
        <v>1.8149999999999999</v>
      </c>
      <c r="T98" s="9">
        <v>3.081</v>
      </c>
      <c r="U98" s="10">
        <v>846.75</v>
      </c>
      <c r="V98">
        <v>74.72</v>
      </c>
    </row>
    <row r="99" spans="1:22" x14ac:dyDescent="0.25">
      <c r="A99" s="11"/>
      <c r="B99" s="12"/>
      <c r="C99" s="18">
        <v>46185</v>
      </c>
      <c r="D99" s="9">
        <v>612</v>
      </c>
      <c r="E99" s="9">
        <v>654</v>
      </c>
      <c r="F99" s="9">
        <v>6.6475</v>
      </c>
      <c r="G99" s="9">
        <v>440.25</v>
      </c>
      <c r="H99" s="9">
        <v>1147</v>
      </c>
      <c r="I99" s="9">
        <v>304.8</v>
      </c>
      <c r="J99" s="9">
        <v>69.67</v>
      </c>
      <c r="K99" s="9">
        <v>4619</v>
      </c>
      <c r="L99" s="9">
        <v>9626</v>
      </c>
      <c r="M99" s="9">
        <v>3000</v>
      </c>
      <c r="N99" s="9">
        <v>8331</v>
      </c>
      <c r="O99" s="9">
        <v>2210</v>
      </c>
      <c r="P99" s="9">
        <v>9858</v>
      </c>
      <c r="Q99" s="9">
        <v>528</v>
      </c>
      <c r="R99" s="9">
        <v>774.2</v>
      </c>
      <c r="S99" s="9">
        <v>1.85</v>
      </c>
      <c r="T99" s="9">
        <v>3.1844000000000001</v>
      </c>
      <c r="U99" s="10">
        <v>871.25</v>
      </c>
      <c r="V99">
        <v>77.41</v>
      </c>
    </row>
    <row r="100" spans="1:22" x14ac:dyDescent="0.25">
      <c r="A100" s="8"/>
      <c r="B100" s="9"/>
      <c r="C100" s="18">
        <v>46184</v>
      </c>
      <c r="D100" s="9">
        <v>614.75</v>
      </c>
      <c r="E100" s="9">
        <v>656.25</v>
      </c>
      <c r="F100" s="9">
        <v>6.68</v>
      </c>
      <c r="G100" s="9">
        <v>439.5</v>
      </c>
      <c r="H100" s="9">
        <v>1148</v>
      </c>
      <c r="I100" s="9">
        <v>304.5</v>
      </c>
      <c r="J100" s="9">
        <v>70.14</v>
      </c>
      <c r="K100" s="9">
        <v>4712</v>
      </c>
      <c r="L100" s="9">
        <v>9645</v>
      </c>
      <c r="M100" s="9">
        <v>3000</v>
      </c>
      <c r="N100" s="9">
        <v>8336</v>
      </c>
      <c r="O100" s="9">
        <v>2210</v>
      </c>
      <c r="P100" s="9">
        <v>9917</v>
      </c>
      <c r="Q100" s="9">
        <v>533.25</v>
      </c>
      <c r="R100" s="9">
        <v>781.2</v>
      </c>
      <c r="S100" s="9">
        <v>1.8425</v>
      </c>
      <c r="T100" s="9">
        <v>3.2968000000000002</v>
      </c>
      <c r="U100" s="10">
        <v>929.25</v>
      </c>
      <c r="V100">
        <v>80.31</v>
      </c>
    </row>
    <row r="101" spans="1:22" x14ac:dyDescent="0.25">
      <c r="A101" s="11"/>
      <c r="B101" s="12"/>
      <c r="C101" s="18">
        <v>46183</v>
      </c>
      <c r="D101" s="9">
        <v>617.25</v>
      </c>
      <c r="E101" s="9">
        <v>655.5</v>
      </c>
      <c r="F101" s="9">
        <v>6.665</v>
      </c>
      <c r="G101" s="9">
        <v>446.75</v>
      </c>
      <c r="H101" s="9">
        <v>1152.25</v>
      </c>
      <c r="I101" s="9">
        <v>305.5</v>
      </c>
      <c r="J101" s="9">
        <v>70.930000000000007</v>
      </c>
      <c r="K101" s="9">
        <v>4703</v>
      </c>
      <c r="L101" s="9">
        <v>9570</v>
      </c>
      <c r="M101" s="9">
        <v>2980</v>
      </c>
      <c r="N101" s="9">
        <v>8297</v>
      </c>
      <c r="O101" s="9">
        <v>2196</v>
      </c>
      <c r="P101" s="9">
        <v>9866</v>
      </c>
      <c r="Q101" s="9">
        <v>533.25</v>
      </c>
      <c r="R101" s="9">
        <v>783.2</v>
      </c>
      <c r="S101" s="9">
        <v>1.8674999999999999</v>
      </c>
      <c r="T101" s="9">
        <v>3.3746</v>
      </c>
      <c r="U101" s="10">
        <v>924.25</v>
      </c>
      <c r="V101">
        <v>81.52</v>
      </c>
    </row>
    <row r="102" spans="1:22" x14ac:dyDescent="0.25">
      <c r="A102" s="8"/>
      <c r="B102" s="9"/>
      <c r="C102" s="18">
        <v>46182</v>
      </c>
      <c r="D102" s="9">
        <v>614.25</v>
      </c>
      <c r="E102" s="9">
        <v>654.5</v>
      </c>
      <c r="F102" s="9">
        <v>6.6574999999999998</v>
      </c>
      <c r="G102" s="9">
        <v>445.25</v>
      </c>
      <c r="H102" s="9">
        <v>1146.25</v>
      </c>
      <c r="I102" s="9">
        <v>306.39999999999998</v>
      </c>
      <c r="J102" s="9">
        <v>70.58</v>
      </c>
      <c r="K102" s="9">
        <v>4692</v>
      </c>
      <c r="L102" s="9">
        <v>9609</v>
      </c>
      <c r="M102" s="9">
        <v>2978</v>
      </c>
      <c r="N102" s="9">
        <v>8307</v>
      </c>
      <c r="O102" s="9">
        <v>2202</v>
      </c>
      <c r="P102" s="9">
        <v>9910</v>
      </c>
      <c r="Q102" s="9">
        <v>526.25</v>
      </c>
      <c r="R102" s="9">
        <v>776.8</v>
      </c>
      <c r="S102" s="9">
        <v>1.8774999999999999</v>
      </c>
      <c r="T102" s="9">
        <v>3.3283999999999998</v>
      </c>
      <c r="U102" s="10">
        <v>912.5</v>
      </c>
      <c r="V102">
        <v>80.06</v>
      </c>
    </row>
    <row r="103" spans="1:22" x14ac:dyDescent="0.25">
      <c r="A103" s="11"/>
      <c r="B103" s="12"/>
      <c r="C103" s="18">
        <v>46181</v>
      </c>
      <c r="D103" s="9">
        <v>613.75</v>
      </c>
      <c r="E103" s="9">
        <v>654.25</v>
      </c>
      <c r="F103" s="9">
        <v>6.665</v>
      </c>
      <c r="G103" s="9">
        <v>446</v>
      </c>
      <c r="H103" s="9">
        <v>1150</v>
      </c>
      <c r="I103" s="9">
        <v>309.10000000000002</v>
      </c>
      <c r="J103" s="9">
        <v>70.709999999999994</v>
      </c>
      <c r="K103" s="9">
        <v>4726</v>
      </c>
      <c r="L103" s="9">
        <v>9672</v>
      </c>
      <c r="M103" s="9">
        <v>2984</v>
      </c>
      <c r="N103" s="9">
        <v>8367</v>
      </c>
      <c r="O103" s="9">
        <v>2209</v>
      </c>
      <c r="P103" s="9">
        <v>9990</v>
      </c>
      <c r="Q103" s="9">
        <v>527.5</v>
      </c>
      <c r="R103" s="9">
        <v>777.1</v>
      </c>
      <c r="S103" s="9">
        <v>1.89</v>
      </c>
      <c r="T103" s="9">
        <v>3.3683000000000001</v>
      </c>
      <c r="U103" s="10">
        <v>936</v>
      </c>
      <c r="V103">
        <v>81.45</v>
      </c>
    </row>
    <row r="104" spans="1:22" x14ac:dyDescent="0.25">
      <c r="A104" s="8"/>
      <c r="B104" s="9"/>
      <c r="C104" s="18">
        <v>46178</v>
      </c>
      <c r="D104" s="9">
        <v>611.5</v>
      </c>
      <c r="E104" s="9">
        <v>646.75</v>
      </c>
      <c r="F104" s="9">
        <v>6.6974999999999998</v>
      </c>
      <c r="G104" s="9">
        <v>446</v>
      </c>
      <c r="H104" s="9">
        <v>1152.25</v>
      </c>
      <c r="I104" s="9">
        <v>311.2</v>
      </c>
      <c r="J104" s="9">
        <v>70.81</v>
      </c>
      <c r="K104" s="9">
        <v>4699</v>
      </c>
      <c r="L104" s="9">
        <v>9760</v>
      </c>
      <c r="M104" s="9">
        <v>2996</v>
      </c>
      <c r="N104" s="9">
        <v>8428</v>
      </c>
      <c r="O104" s="9">
        <v>2223</v>
      </c>
      <c r="P104" s="9">
        <v>10069</v>
      </c>
      <c r="Q104" s="9">
        <v>525.75</v>
      </c>
      <c r="R104" s="9">
        <v>771.9</v>
      </c>
      <c r="S104" s="9">
        <v>1.9</v>
      </c>
      <c r="T104" s="9">
        <v>3.3327</v>
      </c>
      <c r="U104" s="10">
        <v>922.5</v>
      </c>
      <c r="V104">
        <v>79.459999999999994</v>
      </c>
    </row>
    <row r="105" spans="1:22" x14ac:dyDescent="0.25">
      <c r="A105" s="11"/>
      <c r="B105" s="12"/>
      <c r="C105" s="18">
        <v>46177</v>
      </c>
      <c r="D105" s="9">
        <v>613.5</v>
      </c>
      <c r="E105" s="9">
        <v>648.5</v>
      </c>
      <c r="F105" s="9">
        <v>6.69</v>
      </c>
      <c r="G105" s="9">
        <v>451.75</v>
      </c>
      <c r="H105" s="9">
        <v>1156.25</v>
      </c>
      <c r="I105" s="9">
        <v>313.3</v>
      </c>
      <c r="J105" s="9">
        <v>72.25</v>
      </c>
      <c r="K105" s="9">
        <v>4733</v>
      </c>
      <c r="L105" s="9">
        <v>9967</v>
      </c>
      <c r="M105" s="9">
        <v>3024</v>
      </c>
      <c r="N105" s="9">
        <v>8553</v>
      </c>
      <c r="O105" s="9">
        <v>2245</v>
      </c>
      <c r="P105" s="9">
        <v>10258</v>
      </c>
      <c r="Q105" s="9">
        <v>528.25</v>
      </c>
      <c r="R105" s="9">
        <v>793.9</v>
      </c>
      <c r="S105" s="9">
        <v>1.895</v>
      </c>
      <c r="T105" s="9">
        <v>3.3761999999999999</v>
      </c>
      <c r="U105" s="10">
        <v>925.5</v>
      </c>
      <c r="V105">
        <v>80.459999999999994</v>
      </c>
    </row>
    <row r="106" spans="1:22" x14ac:dyDescent="0.25">
      <c r="A106" s="8"/>
      <c r="B106" s="9"/>
      <c r="C106" s="18">
        <v>46176</v>
      </c>
      <c r="D106" s="9">
        <v>620.5</v>
      </c>
      <c r="E106" s="9">
        <v>652</v>
      </c>
      <c r="F106" s="9">
        <v>6.7175000000000002</v>
      </c>
      <c r="G106" s="9">
        <v>459.75</v>
      </c>
      <c r="H106" s="9">
        <v>1181.75</v>
      </c>
      <c r="I106" s="9">
        <v>319.2</v>
      </c>
      <c r="J106" s="9">
        <v>74</v>
      </c>
      <c r="K106" s="9">
        <v>4804</v>
      </c>
      <c r="L106" s="9">
        <v>9963</v>
      </c>
      <c r="M106" s="9">
        <v>3032</v>
      </c>
      <c r="N106" s="9">
        <v>8547</v>
      </c>
      <c r="O106" s="9">
        <v>2253</v>
      </c>
      <c r="P106" s="9">
        <v>10108</v>
      </c>
      <c r="Q106" s="9">
        <v>538.5</v>
      </c>
      <c r="R106" s="9">
        <v>808</v>
      </c>
      <c r="S106" s="9">
        <v>1.91</v>
      </c>
      <c r="T106" s="9">
        <v>3.4841000000000002</v>
      </c>
      <c r="U106" s="10">
        <v>948</v>
      </c>
      <c r="V106">
        <v>82.42</v>
      </c>
    </row>
    <row r="107" spans="1:22" x14ac:dyDescent="0.25">
      <c r="A107" s="11"/>
      <c r="B107" s="12"/>
      <c r="C107" s="18">
        <v>46175</v>
      </c>
      <c r="D107" s="9">
        <v>635.25</v>
      </c>
      <c r="E107" s="9">
        <v>662.25</v>
      </c>
      <c r="F107" s="9">
        <v>6.8150000000000004</v>
      </c>
      <c r="G107" s="9">
        <v>466.5</v>
      </c>
      <c r="H107" s="9">
        <v>1191.75</v>
      </c>
      <c r="I107" s="9">
        <v>320</v>
      </c>
      <c r="J107" s="9">
        <v>73.290000000000006</v>
      </c>
      <c r="K107" s="9"/>
      <c r="L107" s="9">
        <v>9949</v>
      </c>
      <c r="M107" s="9">
        <v>3039</v>
      </c>
      <c r="N107" s="9">
        <v>8555</v>
      </c>
      <c r="O107" s="9">
        <v>2264</v>
      </c>
      <c r="P107" s="9">
        <v>9931</v>
      </c>
      <c r="Q107" s="9">
        <v>532.5</v>
      </c>
      <c r="R107" s="9">
        <v>789.1</v>
      </c>
      <c r="S107" s="9">
        <v>1.9275</v>
      </c>
      <c r="T107" s="9">
        <v>3.3774999999999999</v>
      </c>
      <c r="U107" s="10">
        <v>918</v>
      </c>
      <c r="V107">
        <v>80.959999999999994</v>
      </c>
    </row>
    <row r="108" spans="1:22" x14ac:dyDescent="0.25">
      <c r="A108" s="8"/>
      <c r="B108" s="9"/>
      <c r="C108" s="18">
        <v>46174</v>
      </c>
      <c r="D108" s="9">
        <v>640.5</v>
      </c>
      <c r="E108" s="9">
        <v>673.5</v>
      </c>
      <c r="F108" s="9">
        <v>6.9424999999999999</v>
      </c>
      <c r="G108" s="9">
        <v>472.5</v>
      </c>
      <c r="H108" s="9">
        <v>1202.5</v>
      </c>
      <c r="I108" s="9">
        <v>319.10000000000002</v>
      </c>
      <c r="J108" s="9">
        <v>73.83</v>
      </c>
      <c r="K108" s="9"/>
      <c r="L108" s="9">
        <v>9903</v>
      </c>
      <c r="M108" s="9">
        <v>3046</v>
      </c>
      <c r="N108" s="9">
        <v>8549</v>
      </c>
      <c r="O108" s="9">
        <v>2259</v>
      </c>
      <c r="P108" s="9">
        <v>9892</v>
      </c>
      <c r="Q108" s="9">
        <v>533.5</v>
      </c>
      <c r="R108" s="9">
        <v>793.7</v>
      </c>
      <c r="S108" s="9">
        <v>1.9450000000000001</v>
      </c>
      <c r="T108" s="9">
        <v>3.3275000000000001</v>
      </c>
      <c r="U108" s="10">
        <v>926.5</v>
      </c>
      <c r="V108">
        <v>80.23</v>
      </c>
    </row>
    <row r="109" spans="1:22" x14ac:dyDescent="0.25">
      <c r="A109" s="11"/>
      <c r="B109" s="12"/>
      <c r="C109" s="18">
        <v>46171</v>
      </c>
      <c r="D109" s="9">
        <v>643</v>
      </c>
      <c r="E109" s="9">
        <v>677</v>
      </c>
      <c r="F109" s="9">
        <v>7.0724999999999998</v>
      </c>
      <c r="G109" s="9">
        <v>475</v>
      </c>
      <c r="H109" s="9">
        <v>1203.5</v>
      </c>
      <c r="I109" s="9">
        <v>320.3</v>
      </c>
      <c r="J109" s="9">
        <v>72.44</v>
      </c>
      <c r="K109" s="9">
        <v>4671</v>
      </c>
      <c r="L109" s="9">
        <v>9795</v>
      </c>
      <c r="M109" s="9">
        <v>3058</v>
      </c>
      <c r="N109" s="9">
        <v>8507</v>
      </c>
      <c r="O109" s="9">
        <v>2258</v>
      </c>
      <c r="P109" s="9">
        <v>9837</v>
      </c>
      <c r="Q109" s="9">
        <v>530</v>
      </c>
      <c r="R109" s="9">
        <v>780.7</v>
      </c>
      <c r="S109" s="9">
        <v>1.9475</v>
      </c>
      <c r="T109" s="9">
        <v>3.2136</v>
      </c>
      <c r="U109" s="10">
        <v>886</v>
      </c>
      <c r="V109">
        <v>78.290000000000006</v>
      </c>
    </row>
    <row r="110" spans="1:22" x14ac:dyDescent="0.25">
      <c r="A110" s="8"/>
      <c r="B110" s="9"/>
      <c r="C110" s="18">
        <v>46170</v>
      </c>
      <c r="D110" s="9">
        <v>656.25</v>
      </c>
      <c r="E110" s="9">
        <v>692.25</v>
      </c>
      <c r="F110" s="9">
        <v>7.1974999999999998</v>
      </c>
      <c r="G110" s="9">
        <v>482.25</v>
      </c>
      <c r="H110" s="9">
        <v>1207</v>
      </c>
      <c r="I110" s="9">
        <v>323.60000000000002</v>
      </c>
      <c r="J110" s="9">
        <v>71.62</v>
      </c>
      <c r="K110" s="9">
        <v>4654</v>
      </c>
      <c r="L110" s="9">
        <v>9754</v>
      </c>
      <c r="M110" s="9">
        <v>3049</v>
      </c>
      <c r="N110" s="9">
        <v>8461</v>
      </c>
      <c r="O110" s="9">
        <v>2256</v>
      </c>
      <c r="P110" s="9">
        <v>9751</v>
      </c>
      <c r="Q110" s="9">
        <v>531.25</v>
      </c>
      <c r="R110" s="9">
        <v>786.1</v>
      </c>
      <c r="S110" s="9">
        <v>1.95</v>
      </c>
      <c r="T110" s="9">
        <v>3.2685</v>
      </c>
      <c r="U110" s="10">
        <v>897.5</v>
      </c>
      <c r="V110">
        <v>79.59</v>
      </c>
    </row>
    <row r="111" spans="1:22" x14ac:dyDescent="0.25">
      <c r="A111" s="11"/>
      <c r="B111" s="12"/>
      <c r="C111" s="18">
        <v>46169</v>
      </c>
      <c r="D111" s="9">
        <v>655.75</v>
      </c>
      <c r="E111" s="9">
        <v>697.25</v>
      </c>
      <c r="F111" s="9">
        <v>7.2324999999999999</v>
      </c>
      <c r="G111" s="9">
        <v>477.5</v>
      </c>
      <c r="H111" s="9">
        <v>1194.25</v>
      </c>
      <c r="I111" s="9">
        <v>320.7</v>
      </c>
      <c r="J111" s="9">
        <v>70.27</v>
      </c>
      <c r="K111" s="9"/>
      <c r="L111" s="9">
        <v>9714</v>
      </c>
      <c r="M111" s="9">
        <v>3043</v>
      </c>
      <c r="N111" s="9">
        <v>8431</v>
      </c>
      <c r="O111" s="9">
        <v>2259</v>
      </c>
      <c r="P111" s="9">
        <v>9673</v>
      </c>
      <c r="Q111" s="9">
        <v>528.5</v>
      </c>
      <c r="R111" s="9">
        <v>775.5</v>
      </c>
      <c r="S111" s="9">
        <v>1.9375</v>
      </c>
      <c r="T111" s="9">
        <v>3.2303000000000002</v>
      </c>
      <c r="U111" s="10">
        <v>896.75</v>
      </c>
      <c r="V111">
        <v>78.069999999999993</v>
      </c>
    </row>
    <row r="112" spans="1:22" x14ac:dyDescent="0.25">
      <c r="A112" s="8"/>
      <c r="B112" s="9"/>
      <c r="C112" s="18">
        <v>46168</v>
      </c>
      <c r="D112" s="9">
        <v>668.5</v>
      </c>
      <c r="E112" s="9">
        <v>704.25</v>
      </c>
      <c r="F112" s="9">
        <v>7.3075000000000001</v>
      </c>
      <c r="G112" s="9">
        <v>482</v>
      </c>
      <c r="H112" s="9">
        <v>1193.5</v>
      </c>
      <c r="I112" s="9">
        <v>319.39999999999998</v>
      </c>
      <c r="J112" s="9">
        <v>69.75</v>
      </c>
      <c r="K112" s="9">
        <v>4630</v>
      </c>
      <c r="L112" s="9">
        <v>9679</v>
      </c>
      <c r="M112" s="9">
        <v>3039</v>
      </c>
      <c r="N112" s="9">
        <v>8409</v>
      </c>
      <c r="O112" s="9">
        <v>2263</v>
      </c>
      <c r="P112" s="9">
        <v>9641</v>
      </c>
      <c r="Q112" s="9">
        <v>528.25</v>
      </c>
      <c r="R112" s="9">
        <v>768.1</v>
      </c>
      <c r="S112" s="9">
        <v>1.95</v>
      </c>
      <c r="T112" s="9">
        <v>3.2608999999999999</v>
      </c>
      <c r="U112" s="10">
        <v>912.75</v>
      </c>
      <c r="V112">
        <v>80.010000000000005</v>
      </c>
    </row>
    <row r="113" spans="1:22" x14ac:dyDescent="0.25">
      <c r="A113" s="11"/>
      <c r="B113" s="12"/>
      <c r="C113" s="18">
        <v>46167</v>
      </c>
      <c r="D113" s="9"/>
      <c r="E113" s="9"/>
      <c r="F113" s="9"/>
      <c r="G113" s="9"/>
      <c r="H113" s="9"/>
      <c r="I113" s="9"/>
      <c r="J113" s="9"/>
      <c r="K113" s="9">
        <v>4589</v>
      </c>
      <c r="L113" s="9">
        <v>9627</v>
      </c>
      <c r="M113" s="9">
        <v>3051</v>
      </c>
      <c r="N113" s="9">
        <v>8414</v>
      </c>
      <c r="O113" s="9">
        <v>2279</v>
      </c>
      <c r="P113" s="9">
        <v>9646</v>
      </c>
      <c r="Q113" s="9">
        <v>519.5</v>
      </c>
      <c r="R113" s="9">
        <v>755</v>
      </c>
      <c r="S113" s="9"/>
      <c r="T113" s="9"/>
      <c r="U113" s="10">
        <v>899.5</v>
      </c>
    </row>
    <row r="114" spans="1:22" x14ac:dyDescent="0.25">
      <c r="A114" s="8"/>
      <c r="B114" s="9"/>
      <c r="C114" s="18">
        <v>46164</v>
      </c>
      <c r="D114" s="9">
        <v>679</v>
      </c>
      <c r="E114" s="9">
        <v>709</v>
      </c>
      <c r="F114" s="9">
        <v>7.2750000000000004</v>
      </c>
      <c r="G114" s="9">
        <v>486.5</v>
      </c>
      <c r="H114" s="9">
        <v>1199.75</v>
      </c>
      <c r="I114" s="9">
        <v>322.39999999999998</v>
      </c>
      <c r="J114" s="9">
        <v>69.38</v>
      </c>
      <c r="K114" s="9">
        <v>4598</v>
      </c>
      <c r="L114" s="9">
        <v>9650</v>
      </c>
      <c r="M114" s="9">
        <v>3048</v>
      </c>
      <c r="N114" s="9">
        <v>8475</v>
      </c>
      <c r="O114" s="9">
        <v>2277</v>
      </c>
      <c r="P114" s="9">
        <v>9692</v>
      </c>
      <c r="Q114" s="9">
        <v>529.75</v>
      </c>
      <c r="R114" s="9">
        <v>768.4</v>
      </c>
      <c r="S114" s="9">
        <v>1.9624999999999999</v>
      </c>
      <c r="T114" s="9">
        <v>3.3188</v>
      </c>
      <c r="U114" s="10">
        <v>929.25</v>
      </c>
      <c r="V114">
        <v>81.430000000000007</v>
      </c>
    </row>
    <row r="115" spans="1:22" x14ac:dyDescent="0.25">
      <c r="A115" s="11"/>
      <c r="B115" s="12"/>
      <c r="C115" s="18">
        <v>46163</v>
      </c>
      <c r="D115" s="9">
        <v>680.75</v>
      </c>
      <c r="E115" s="9">
        <v>713.25</v>
      </c>
      <c r="F115" s="9">
        <v>7.2874999999999996</v>
      </c>
      <c r="G115" s="9">
        <v>485</v>
      </c>
      <c r="H115" s="9">
        <v>1198.75</v>
      </c>
      <c r="I115" s="9">
        <v>321.8</v>
      </c>
      <c r="J115" s="9">
        <v>69.3</v>
      </c>
      <c r="K115" s="9">
        <v>4582</v>
      </c>
      <c r="L115" s="9">
        <v>9789</v>
      </c>
      <c r="M115" s="9">
        <v>3055</v>
      </c>
      <c r="N115" s="9">
        <v>8531</v>
      </c>
      <c r="O115" s="9">
        <v>2290</v>
      </c>
      <c r="P115" s="9">
        <v>9779</v>
      </c>
      <c r="Q115" s="9">
        <v>527</v>
      </c>
      <c r="R115" s="9">
        <v>767.8</v>
      </c>
      <c r="S115" s="9">
        <v>1.95</v>
      </c>
      <c r="T115" s="9">
        <v>3.2887</v>
      </c>
      <c r="U115" s="10">
        <v>953</v>
      </c>
      <c r="V115">
        <v>81.19</v>
      </c>
    </row>
    <row r="116" spans="1:22" x14ac:dyDescent="0.25">
      <c r="A116" s="8"/>
      <c r="B116" s="9"/>
      <c r="C116" s="18">
        <v>46162</v>
      </c>
      <c r="D116" s="9">
        <v>692.25</v>
      </c>
      <c r="E116" s="9">
        <v>723.5</v>
      </c>
      <c r="F116" s="9">
        <v>7.3475000000000001</v>
      </c>
      <c r="G116" s="9">
        <v>489.25</v>
      </c>
      <c r="H116" s="9">
        <v>1205</v>
      </c>
      <c r="I116" s="9">
        <v>324.39999999999998</v>
      </c>
      <c r="J116" s="9">
        <v>69.87</v>
      </c>
      <c r="K116" s="9">
        <v>4674</v>
      </c>
      <c r="L116" s="9">
        <v>9834</v>
      </c>
      <c r="M116" s="9">
        <v>3079</v>
      </c>
      <c r="N116" s="9">
        <v>8568</v>
      </c>
      <c r="O116" s="9">
        <v>2306</v>
      </c>
      <c r="P116" s="9">
        <v>9805</v>
      </c>
      <c r="Q116" s="9">
        <v>528.75</v>
      </c>
      <c r="R116" s="9">
        <v>766.9</v>
      </c>
      <c r="S116" s="9">
        <v>1.9424999999999999</v>
      </c>
      <c r="T116" s="9">
        <v>3.3405</v>
      </c>
      <c r="U116" s="10">
        <v>938.25</v>
      </c>
      <c r="V116">
        <v>81.45</v>
      </c>
    </row>
    <row r="117" spans="1:22" x14ac:dyDescent="0.25">
      <c r="A117" s="11"/>
      <c r="B117" s="12"/>
      <c r="C117" s="18">
        <v>46161</v>
      </c>
      <c r="D117" s="9">
        <v>698.75</v>
      </c>
      <c r="E117" s="9">
        <v>727.25</v>
      </c>
      <c r="F117" s="9">
        <v>7.3674999999999997</v>
      </c>
      <c r="G117" s="9">
        <v>497.75</v>
      </c>
      <c r="H117" s="9">
        <v>1213.75</v>
      </c>
      <c r="I117" s="9">
        <v>325.5</v>
      </c>
      <c r="J117" s="9">
        <v>70.42</v>
      </c>
      <c r="K117" s="9">
        <v>4644</v>
      </c>
      <c r="L117" s="9">
        <v>9712</v>
      </c>
      <c r="M117" s="9">
        <v>3077</v>
      </c>
      <c r="N117" s="9">
        <v>8478</v>
      </c>
      <c r="O117" s="9">
        <v>2299</v>
      </c>
      <c r="P117" s="9">
        <v>9630</v>
      </c>
      <c r="Q117" s="9">
        <v>530.25</v>
      </c>
      <c r="R117" s="9">
        <v>770.9</v>
      </c>
      <c r="S117" s="9">
        <v>1.9524999999999999</v>
      </c>
      <c r="T117" s="9">
        <v>3.4552</v>
      </c>
      <c r="U117" s="10">
        <v>956.25</v>
      </c>
      <c r="V117">
        <v>84.74</v>
      </c>
    </row>
    <row r="118" spans="1:22" x14ac:dyDescent="0.25">
      <c r="A118" s="8"/>
      <c r="B118" s="9"/>
      <c r="C118" s="18">
        <v>46160</v>
      </c>
      <c r="D118" s="9">
        <v>696.25</v>
      </c>
      <c r="E118" s="9">
        <v>727.5</v>
      </c>
      <c r="F118" s="9">
        <v>7.4175000000000004</v>
      </c>
      <c r="G118" s="9">
        <v>498</v>
      </c>
      <c r="H118" s="9">
        <v>1212.25</v>
      </c>
      <c r="I118" s="9">
        <v>325.60000000000002</v>
      </c>
      <c r="J118" s="9">
        <v>70.69</v>
      </c>
      <c r="K118" s="9">
        <v>4588</v>
      </c>
      <c r="L118" s="9">
        <v>9632</v>
      </c>
      <c r="M118" s="9">
        <v>3045</v>
      </c>
      <c r="N118" s="9">
        <v>8412</v>
      </c>
      <c r="O118" s="9">
        <v>2279</v>
      </c>
      <c r="P118" s="9">
        <v>9538</v>
      </c>
      <c r="Q118" s="9">
        <v>529.75</v>
      </c>
      <c r="R118" s="9"/>
      <c r="S118" s="9">
        <v>1.9475</v>
      </c>
      <c r="T118" s="9">
        <v>3.4457</v>
      </c>
      <c r="U118" s="10">
        <v>959</v>
      </c>
      <c r="V118">
        <v>85.32</v>
      </c>
    </row>
    <row r="119" spans="1:22" x14ac:dyDescent="0.25">
      <c r="A119" s="11"/>
      <c r="B119" s="12"/>
      <c r="C119" s="18">
        <v>46157</v>
      </c>
      <c r="D119" s="9">
        <v>669.75</v>
      </c>
      <c r="E119" s="9">
        <v>711.25</v>
      </c>
      <c r="F119" s="9">
        <v>7.2450000000000001</v>
      </c>
      <c r="G119" s="9">
        <v>481</v>
      </c>
      <c r="H119" s="9">
        <v>1183.25</v>
      </c>
      <c r="I119" s="9">
        <v>322.10000000000002</v>
      </c>
      <c r="J119" s="9">
        <v>69.17</v>
      </c>
      <c r="K119" s="9">
        <v>4521</v>
      </c>
      <c r="L119" s="9">
        <v>9541</v>
      </c>
      <c r="M119" s="9">
        <v>3052</v>
      </c>
      <c r="N119" s="9">
        <v>8421</v>
      </c>
      <c r="O119" s="9">
        <v>2291</v>
      </c>
      <c r="P119" s="9">
        <v>9580</v>
      </c>
      <c r="Q119" s="9">
        <v>524.25</v>
      </c>
      <c r="R119" s="9">
        <v>757.3</v>
      </c>
      <c r="S119" s="9">
        <v>1.89</v>
      </c>
      <c r="T119" s="9">
        <v>3.3574000000000002</v>
      </c>
      <c r="U119" s="10">
        <v>940.25</v>
      </c>
      <c r="V119">
        <v>83.42</v>
      </c>
    </row>
    <row r="120" spans="1:22" x14ac:dyDescent="0.25">
      <c r="A120" s="8"/>
      <c r="B120" s="9"/>
      <c r="C120" s="18">
        <v>46156</v>
      </c>
      <c r="D120" s="9">
        <v>691</v>
      </c>
      <c r="E120" s="9">
        <v>730.5</v>
      </c>
      <c r="F120" s="9">
        <v>7.4124999999999996</v>
      </c>
      <c r="G120" s="9">
        <v>491.25</v>
      </c>
      <c r="H120" s="9">
        <v>1195.5</v>
      </c>
      <c r="I120" s="9">
        <v>322.8</v>
      </c>
      <c r="J120" s="9">
        <v>69.31</v>
      </c>
      <c r="K120" s="9">
        <v>4507</v>
      </c>
      <c r="L120" s="9">
        <v>9597</v>
      </c>
      <c r="M120" s="9">
        <v>3096</v>
      </c>
      <c r="N120" s="9">
        <v>8505</v>
      </c>
      <c r="O120" s="9">
        <v>2329</v>
      </c>
      <c r="P120" s="9">
        <v>9706</v>
      </c>
      <c r="Q120" s="9">
        <v>520</v>
      </c>
      <c r="R120" s="9">
        <v>755.4</v>
      </c>
      <c r="S120" s="9">
        <v>1.91</v>
      </c>
      <c r="T120" s="9">
        <v>3.2942</v>
      </c>
      <c r="U120" s="10">
        <v>918.5</v>
      </c>
      <c r="V120">
        <v>81.39</v>
      </c>
    </row>
    <row r="121" spans="1:22" x14ac:dyDescent="0.25">
      <c r="A121" s="11"/>
      <c r="B121" s="12"/>
      <c r="C121" s="18">
        <v>46155</v>
      </c>
      <c r="D121" s="9">
        <v>707.5</v>
      </c>
      <c r="E121" s="9">
        <v>750</v>
      </c>
      <c r="F121" s="9">
        <v>7.58</v>
      </c>
      <c r="G121" s="9">
        <v>503</v>
      </c>
      <c r="H121" s="9">
        <v>1219.25</v>
      </c>
      <c r="I121" s="9">
        <v>328.6</v>
      </c>
      <c r="J121" s="9">
        <v>70.11</v>
      </c>
      <c r="K121" s="9">
        <v>4546</v>
      </c>
      <c r="L121" s="9">
        <v>9636</v>
      </c>
      <c r="M121" s="9">
        <v>3098</v>
      </c>
      <c r="N121" s="9">
        <v>8503</v>
      </c>
      <c r="O121" s="9">
        <v>2337</v>
      </c>
      <c r="P121" s="9">
        <v>9691</v>
      </c>
      <c r="Q121" s="9">
        <v>523.5</v>
      </c>
      <c r="R121" s="9">
        <v>767.9</v>
      </c>
      <c r="S121" s="9">
        <v>1.9350000000000001</v>
      </c>
      <c r="T121" s="9">
        <v>3.3201000000000001</v>
      </c>
      <c r="U121" s="10">
        <v>941</v>
      </c>
      <c r="V121">
        <v>81.67</v>
      </c>
    </row>
    <row r="122" spans="1:22" x14ac:dyDescent="0.25">
      <c r="A122" s="8"/>
      <c r="B122" s="9"/>
      <c r="C122" s="18">
        <v>46154</v>
      </c>
      <c r="D122" s="9">
        <v>710.25</v>
      </c>
      <c r="E122" s="9">
        <v>757.75</v>
      </c>
      <c r="F122" s="9">
        <v>7.6224999999999996</v>
      </c>
      <c r="G122" s="9">
        <v>502</v>
      </c>
      <c r="H122" s="9">
        <v>1216.25</v>
      </c>
      <c r="I122" s="9">
        <v>320.39999999999998</v>
      </c>
      <c r="J122" s="9">
        <v>70.930000000000007</v>
      </c>
      <c r="K122" s="9">
        <v>4566</v>
      </c>
      <c r="L122" s="9">
        <v>9691</v>
      </c>
      <c r="M122" s="9">
        <v>3081</v>
      </c>
      <c r="N122" s="9">
        <v>8498</v>
      </c>
      <c r="O122" s="9">
        <v>2342</v>
      </c>
      <c r="P122" s="9">
        <v>9730</v>
      </c>
      <c r="Q122" s="9">
        <v>524.75</v>
      </c>
      <c r="R122" s="9">
        <v>771.8</v>
      </c>
      <c r="S122" s="9">
        <v>1.9225000000000001</v>
      </c>
      <c r="T122" s="9">
        <v>3.4184999999999999</v>
      </c>
      <c r="U122" s="10">
        <v>947</v>
      </c>
      <c r="V122">
        <v>83.63</v>
      </c>
    </row>
    <row r="123" spans="1:22" x14ac:dyDescent="0.25">
      <c r="A123" s="11"/>
      <c r="B123" s="12"/>
      <c r="C123" s="18">
        <v>46153</v>
      </c>
      <c r="D123" s="9">
        <v>670</v>
      </c>
      <c r="E123" s="9">
        <v>712.75</v>
      </c>
      <c r="F123" s="9">
        <v>7.2750000000000004</v>
      </c>
      <c r="G123" s="9">
        <v>497.75</v>
      </c>
      <c r="H123" s="9">
        <v>1206.25</v>
      </c>
      <c r="I123" s="9">
        <v>318.39999999999998</v>
      </c>
      <c r="J123" s="9">
        <v>69.540000000000006</v>
      </c>
      <c r="K123" s="9">
        <v>4575</v>
      </c>
      <c r="L123" s="9">
        <v>9777</v>
      </c>
      <c r="M123" s="9">
        <v>3069</v>
      </c>
      <c r="N123" s="9">
        <v>8491</v>
      </c>
      <c r="O123" s="9">
        <v>2343</v>
      </c>
      <c r="P123" s="9">
        <v>9764</v>
      </c>
      <c r="Q123" s="9">
        <v>518</v>
      </c>
      <c r="R123" s="9">
        <v>760</v>
      </c>
      <c r="S123" s="9">
        <v>1.8975</v>
      </c>
      <c r="T123" s="9">
        <v>3.2726000000000002</v>
      </c>
      <c r="U123" s="10">
        <v>911</v>
      </c>
      <c r="V123">
        <v>81.63</v>
      </c>
    </row>
    <row r="124" spans="1:22" x14ac:dyDescent="0.25">
      <c r="A124" s="8"/>
      <c r="B124" s="9"/>
      <c r="C124" s="18">
        <v>46150</v>
      </c>
      <c r="D124" s="9">
        <v>655</v>
      </c>
      <c r="E124" s="9">
        <v>701</v>
      </c>
      <c r="F124" s="9">
        <v>7.1825000000000001</v>
      </c>
      <c r="G124" s="9">
        <v>493.5</v>
      </c>
      <c r="H124" s="9">
        <v>1201.5</v>
      </c>
      <c r="I124" s="9">
        <v>315.2</v>
      </c>
      <c r="J124" s="9">
        <v>69.569999999999993</v>
      </c>
      <c r="K124" s="9">
        <v>4542</v>
      </c>
      <c r="L124" s="9">
        <v>9755</v>
      </c>
      <c r="M124" s="9">
        <v>3033</v>
      </c>
      <c r="N124" s="9">
        <v>8471</v>
      </c>
      <c r="O124" s="9">
        <v>2320</v>
      </c>
      <c r="P124" s="9">
        <v>9770</v>
      </c>
      <c r="Q124" s="9">
        <v>514.75</v>
      </c>
      <c r="R124" s="9">
        <v>765.4</v>
      </c>
      <c r="S124" s="9">
        <v>1.89</v>
      </c>
      <c r="T124" s="9">
        <v>3.2185000000000001</v>
      </c>
      <c r="U124" s="10">
        <v>901</v>
      </c>
      <c r="V124">
        <v>79.37</v>
      </c>
    </row>
    <row r="125" spans="1:22" x14ac:dyDescent="0.25">
      <c r="A125" s="11"/>
      <c r="B125" s="12"/>
      <c r="C125" s="18">
        <v>46149</v>
      </c>
      <c r="D125" s="9">
        <v>648.25</v>
      </c>
      <c r="E125" s="9">
        <v>693.25</v>
      </c>
      <c r="F125" s="9">
        <v>7.1224999999999996</v>
      </c>
      <c r="G125" s="9">
        <v>489.5</v>
      </c>
      <c r="H125" s="9">
        <v>1185.5</v>
      </c>
      <c r="I125" s="9">
        <v>313.10000000000002</v>
      </c>
      <c r="J125" s="9">
        <v>69.23</v>
      </c>
      <c r="K125" s="9">
        <v>4568</v>
      </c>
      <c r="L125" s="9">
        <v>9826</v>
      </c>
      <c r="M125" s="9">
        <v>3038</v>
      </c>
      <c r="N125" s="9">
        <v>8568</v>
      </c>
      <c r="O125" s="9">
        <v>2333</v>
      </c>
      <c r="P125" s="9">
        <v>9858</v>
      </c>
      <c r="Q125" s="9">
        <v>514</v>
      </c>
      <c r="R125" s="9">
        <v>751.1</v>
      </c>
      <c r="S125" s="9">
        <v>1.885</v>
      </c>
      <c r="T125" s="9">
        <v>3.1604999999999999</v>
      </c>
      <c r="U125" s="10">
        <v>879.25</v>
      </c>
      <c r="V125">
        <v>77.55</v>
      </c>
    </row>
    <row r="126" spans="1:22" x14ac:dyDescent="0.25">
      <c r="A126" s="8"/>
      <c r="B126" s="9"/>
      <c r="C126" s="18">
        <v>46148</v>
      </c>
      <c r="D126" s="9">
        <v>654</v>
      </c>
      <c r="E126" s="9">
        <v>712.75</v>
      </c>
      <c r="F126" s="9">
        <v>7.2675000000000001</v>
      </c>
      <c r="G126" s="9">
        <v>490</v>
      </c>
      <c r="H126" s="9">
        <v>1187.5</v>
      </c>
      <c r="I126" s="9">
        <v>313.39999999999998</v>
      </c>
      <c r="J126" s="9">
        <v>69.94</v>
      </c>
      <c r="K126" s="9">
        <v>4605</v>
      </c>
      <c r="L126" s="9">
        <v>9948</v>
      </c>
      <c r="M126" s="9">
        <v>3053</v>
      </c>
      <c r="N126" s="9">
        <v>8648</v>
      </c>
      <c r="O126" s="9">
        <v>2349</v>
      </c>
      <c r="P126" s="9">
        <v>9935</v>
      </c>
      <c r="Q126" s="9">
        <v>518.75</v>
      </c>
      <c r="R126" s="9">
        <v>752.8</v>
      </c>
      <c r="S126" s="9">
        <v>1.915</v>
      </c>
      <c r="T126" s="9">
        <v>3.1726000000000001</v>
      </c>
      <c r="U126" s="10">
        <v>891.5</v>
      </c>
      <c r="V126">
        <v>77.069999999999993</v>
      </c>
    </row>
    <row r="127" spans="1:22" x14ac:dyDescent="0.25">
      <c r="A127" s="11"/>
      <c r="B127" s="12"/>
      <c r="C127" s="18">
        <v>46147</v>
      </c>
      <c r="D127" s="9">
        <v>665</v>
      </c>
      <c r="E127" s="9">
        <v>715.75</v>
      </c>
      <c r="F127" s="9">
        <v>7.3</v>
      </c>
      <c r="G127" s="9">
        <v>500.5</v>
      </c>
      <c r="H127" s="9">
        <v>1201.5</v>
      </c>
      <c r="I127" s="9">
        <v>314.10000000000002</v>
      </c>
      <c r="J127" s="9">
        <v>71.59</v>
      </c>
      <c r="K127" s="9">
        <v>4709</v>
      </c>
      <c r="L127" s="9"/>
      <c r="M127" s="9"/>
      <c r="N127" s="9"/>
      <c r="O127" s="9"/>
      <c r="P127" s="9"/>
      <c r="Q127" s="9">
        <v>526.75</v>
      </c>
      <c r="R127" s="9">
        <v>768.8</v>
      </c>
      <c r="S127" s="9">
        <v>1.9624999999999999</v>
      </c>
      <c r="T127" s="9">
        <v>3.3210999999999999</v>
      </c>
      <c r="U127" s="10">
        <v>933.5</v>
      </c>
      <c r="V127">
        <v>81.790000000000006</v>
      </c>
    </row>
    <row r="128" spans="1:22" x14ac:dyDescent="0.25">
      <c r="A128" s="8"/>
      <c r="B128" s="9"/>
      <c r="C128" s="18">
        <v>46146</v>
      </c>
      <c r="D128" s="9">
        <v>677.5</v>
      </c>
      <c r="E128" s="9">
        <v>721.25</v>
      </c>
      <c r="F128" s="9">
        <v>7.335</v>
      </c>
      <c r="G128" s="9">
        <v>504.5</v>
      </c>
      <c r="H128" s="9">
        <v>1208.25</v>
      </c>
      <c r="I128" s="9">
        <v>315.10000000000002</v>
      </c>
      <c r="J128" s="9">
        <v>71.16</v>
      </c>
      <c r="K128" s="9">
        <v>4650</v>
      </c>
      <c r="L128" s="9"/>
      <c r="M128" s="9"/>
      <c r="N128" s="9"/>
      <c r="O128" s="9"/>
      <c r="P128" s="9"/>
      <c r="Q128" s="9">
        <v>528.5</v>
      </c>
      <c r="R128" s="9">
        <v>769.9</v>
      </c>
      <c r="S128" s="9">
        <v>1.9675</v>
      </c>
      <c r="T128" s="9">
        <v>3.3342999999999998</v>
      </c>
      <c r="U128" s="10">
        <v>933.25</v>
      </c>
      <c r="V128">
        <v>83.72</v>
      </c>
    </row>
    <row r="129" spans="1:22" x14ac:dyDescent="0.25">
      <c r="A129" s="11"/>
      <c r="B129" s="12"/>
      <c r="C129" s="18">
        <v>46143</v>
      </c>
      <c r="D129" s="9">
        <v>673.25</v>
      </c>
      <c r="E129" s="9">
        <v>721.25</v>
      </c>
      <c r="F129" s="9">
        <v>7.375</v>
      </c>
      <c r="G129" s="9">
        <v>498.75</v>
      </c>
      <c r="H129" s="9">
        <v>1195.25</v>
      </c>
      <c r="I129" s="9">
        <v>312.60000000000002</v>
      </c>
      <c r="J129" s="9">
        <v>70.03</v>
      </c>
      <c r="K129" s="9"/>
      <c r="L129" s="9"/>
      <c r="M129" s="9"/>
      <c r="N129" s="9"/>
      <c r="O129" s="9"/>
      <c r="P129" s="9"/>
      <c r="Q129" s="9"/>
      <c r="R129" s="9">
        <v>764.7</v>
      </c>
      <c r="S129" s="9">
        <v>1.95</v>
      </c>
      <c r="T129" s="9">
        <v>3.2103000000000002</v>
      </c>
      <c r="U129" s="10">
        <v>901</v>
      </c>
      <c r="V129">
        <v>79.53</v>
      </c>
    </row>
    <row r="130" spans="1:22" x14ac:dyDescent="0.25">
      <c r="A130" s="8"/>
      <c r="B130" s="9"/>
      <c r="C130" s="18">
        <v>46142</v>
      </c>
      <c r="D130" s="9">
        <v>673</v>
      </c>
      <c r="E130" s="9">
        <v>720</v>
      </c>
      <c r="F130" s="9">
        <v>7.3724999999999996</v>
      </c>
      <c r="G130" s="9">
        <v>494.25</v>
      </c>
      <c r="H130" s="9">
        <v>1184.75</v>
      </c>
      <c r="I130" s="9">
        <v>311.5</v>
      </c>
      <c r="J130" s="9">
        <v>69.44</v>
      </c>
      <c r="K130" s="9">
        <v>4618</v>
      </c>
      <c r="L130" s="9">
        <v>9842</v>
      </c>
      <c r="M130" s="9">
        <v>3065</v>
      </c>
      <c r="N130" s="9">
        <v>8565</v>
      </c>
      <c r="O130" s="9">
        <v>2355</v>
      </c>
      <c r="P130" s="9">
        <v>9898</v>
      </c>
      <c r="Q130" s="9">
        <v>522.25</v>
      </c>
      <c r="R130" s="9">
        <v>767.1</v>
      </c>
      <c r="S130" s="9">
        <v>1.9075</v>
      </c>
      <c r="T130" s="9">
        <v>3.2597</v>
      </c>
      <c r="U130" s="10">
        <v>909.5</v>
      </c>
      <c r="V130">
        <v>80.209999999999994</v>
      </c>
    </row>
    <row r="131" spans="1:22" x14ac:dyDescent="0.25">
      <c r="A131" s="11"/>
      <c r="B131" s="12"/>
      <c r="C131" s="18">
        <v>46141</v>
      </c>
      <c r="D131" s="9">
        <v>686.5</v>
      </c>
      <c r="E131" s="9">
        <v>728</v>
      </c>
      <c r="F131" s="9">
        <v>7.4474999999999998</v>
      </c>
      <c r="G131" s="9">
        <v>497.75</v>
      </c>
      <c r="H131" s="9">
        <v>1183</v>
      </c>
      <c r="I131" s="9">
        <v>314.7</v>
      </c>
      <c r="J131" s="9">
        <v>68.64</v>
      </c>
      <c r="K131" s="9">
        <v>4636</v>
      </c>
      <c r="L131" s="9">
        <v>9737</v>
      </c>
      <c r="M131" s="9">
        <v>3062</v>
      </c>
      <c r="N131" s="9">
        <v>8510</v>
      </c>
      <c r="O131" s="9">
        <v>2349</v>
      </c>
      <c r="P131" s="9">
        <v>9802</v>
      </c>
      <c r="Q131" s="9">
        <v>523.25</v>
      </c>
      <c r="R131" s="9">
        <v>765</v>
      </c>
      <c r="S131" s="9">
        <v>1.9275</v>
      </c>
      <c r="T131" s="9">
        <v>3.2536</v>
      </c>
      <c r="U131" s="10">
        <v>919.5</v>
      </c>
      <c r="V131">
        <v>79.489999999999995</v>
      </c>
    </row>
    <row r="132" spans="1:22" x14ac:dyDescent="0.25">
      <c r="A132" s="8"/>
      <c r="B132" s="9"/>
      <c r="C132" s="18">
        <v>46140</v>
      </c>
      <c r="D132" s="9">
        <v>689</v>
      </c>
      <c r="E132" s="9">
        <v>726.25</v>
      </c>
      <c r="F132" s="9">
        <v>7.42</v>
      </c>
      <c r="G132" s="9">
        <v>495.75</v>
      </c>
      <c r="H132" s="9">
        <v>1178.75</v>
      </c>
      <c r="I132" s="9">
        <v>315.2</v>
      </c>
      <c r="J132" s="9">
        <v>66.930000000000007</v>
      </c>
      <c r="K132" s="9">
        <v>4574</v>
      </c>
      <c r="L132" s="9">
        <v>9778</v>
      </c>
      <c r="M132" s="9">
        <v>3041</v>
      </c>
      <c r="N132" s="9">
        <v>8489</v>
      </c>
      <c r="O132" s="9">
        <v>2336</v>
      </c>
      <c r="P132" s="9">
        <v>9713</v>
      </c>
      <c r="Q132" s="9">
        <v>514</v>
      </c>
      <c r="R132" s="9">
        <v>750.4</v>
      </c>
      <c r="S132" s="9">
        <v>1.875</v>
      </c>
      <c r="T132" s="9">
        <v>3.1549999999999998</v>
      </c>
      <c r="U132" s="10">
        <v>889</v>
      </c>
      <c r="V132">
        <v>78.680000000000007</v>
      </c>
    </row>
    <row r="133" spans="1:22" x14ac:dyDescent="0.25">
      <c r="A133" s="11"/>
      <c r="B133" s="12"/>
      <c r="C133" s="18">
        <v>46139</v>
      </c>
      <c r="D133" s="9">
        <v>661.25</v>
      </c>
      <c r="E133" s="9">
        <v>701</v>
      </c>
      <c r="F133" s="9">
        <v>7.2374999999999998</v>
      </c>
      <c r="G133" s="9">
        <v>489.5</v>
      </c>
      <c r="H133" s="9">
        <v>1177.5</v>
      </c>
      <c r="I133" s="9">
        <v>313.89999999999998</v>
      </c>
      <c r="J133" s="9">
        <v>66.290000000000006</v>
      </c>
      <c r="K133" s="9">
        <v>4570</v>
      </c>
      <c r="L133" s="9">
        <v>9815</v>
      </c>
      <c r="M133" s="9">
        <v>3024</v>
      </c>
      <c r="N133" s="9">
        <v>8473</v>
      </c>
      <c r="O133" s="9">
        <v>2323</v>
      </c>
      <c r="P133" s="9">
        <v>9703</v>
      </c>
      <c r="Q133" s="9">
        <v>510.75</v>
      </c>
      <c r="R133" s="9">
        <v>744</v>
      </c>
      <c r="S133" s="9">
        <v>1.895</v>
      </c>
      <c r="T133" s="9">
        <v>3.1515</v>
      </c>
      <c r="U133" s="10">
        <v>895.5</v>
      </c>
      <c r="V133">
        <v>78.260000000000005</v>
      </c>
    </row>
    <row r="134" spans="1:22" x14ac:dyDescent="0.25">
      <c r="A134" s="8"/>
      <c r="B134" s="9"/>
      <c r="C134" s="18">
        <v>46136</v>
      </c>
      <c r="D134" s="9">
        <v>649.5</v>
      </c>
      <c r="E134" s="9">
        <v>695</v>
      </c>
      <c r="F134" s="9">
        <v>7.2225000000000001</v>
      </c>
      <c r="G134" s="9">
        <v>484.25</v>
      </c>
      <c r="H134" s="9">
        <v>1168</v>
      </c>
      <c r="I134" s="9">
        <v>309.3</v>
      </c>
      <c r="J134" s="9">
        <v>65.930000000000007</v>
      </c>
      <c r="K134" s="9">
        <v>4603</v>
      </c>
      <c r="L134" s="9">
        <v>9766</v>
      </c>
      <c r="M134" s="9">
        <v>3029</v>
      </c>
      <c r="N134" s="9">
        <v>8520</v>
      </c>
      <c r="O134" s="9">
        <v>2328</v>
      </c>
      <c r="P134" s="9">
        <v>9687</v>
      </c>
      <c r="Q134" s="9">
        <v>505.25</v>
      </c>
      <c r="R134" s="9">
        <v>744</v>
      </c>
      <c r="S134" s="9">
        <v>1.865</v>
      </c>
      <c r="T134" s="9">
        <v>3.0811999999999999</v>
      </c>
      <c r="U134" s="10">
        <v>879.75</v>
      </c>
      <c r="V134">
        <v>77.48</v>
      </c>
    </row>
    <row r="135" spans="1:22" x14ac:dyDescent="0.25">
      <c r="A135" s="11"/>
      <c r="B135" s="12"/>
      <c r="C135" s="18">
        <v>46135</v>
      </c>
      <c r="D135" s="9">
        <v>651.75</v>
      </c>
      <c r="E135" s="9">
        <v>704.5</v>
      </c>
      <c r="F135" s="9">
        <v>7.1875</v>
      </c>
      <c r="G135" s="9">
        <v>483.5</v>
      </c>
      <c r="H135" s="9">
        <v>1167</v>
      </c>
      <c r="I135" s="9">
        <v>309.3</v>
      </c>
      <c r="J135" s="9">
        <v>65.66</v>
      </c>
      <c r="K135" s="9">
        <v>4559</v>
      </c>
      <c r="L135" s="9">
        <v>9743</v>
      </c>
      <c r="M135" s="9">
        <v>3045</v>
      </c>
      <c r="N135" s="9">
        <v>8549</v>
      </c>
      <c r="O135" s="9">
        <v>2345</v>
      </c>
      <c r="P135" s="9">
        <v>9644</v>
      </c>
      <c r="Q135" s="9">
        <v>510</v>
      </c>
      <c r="R135" s="9">
        <v>742.4</v>
      </c>
      <c r="S135" s="9">
        <v>1.845</v>
      </c>
      <c r="T135" s="9">
        <v>3.1017999999999999</v>
      </c>
      <c r="U135" s="10">
        <v>866.75</v>
      </c>
      <c r="V135">
        <v>77.849999999999994</v>
      </c>
    </row>
    <row r="136" spans="1:22" x14ac:dyDescent="0.25">
      <c r="A136" s="8"/>
      <c r="B136" s="9"/>
      <c r="C136" s="18">
        <v>46134</v>
      </c>
      <c r="D136" s="9">
        <v>638.75</v>
      </c>
      <c r="E136" s="9">
        <v>678.25</v>
      </c>
      <c r="F136" s="9">
        <v>7.0949999999999998</v>
      </c>
      <c r="G136" s="9">
        <v>482.25</v>
      </c>
      <c r="H136" s="9">
        <v>1168.25</v>
      </c>
      <c r="I136" s="9">
        <v>310</v>
      </c>
      <c r="J136" s="9">
        <v>65.33</v>
      </c>
      <c r="K136" s="9">
        <v>4594</v>
      </c>
      <c r="L136" s="9">
        <v>9703</v>
      </c>
      <c r="M136" s="9">
        <v>3053</v>
      </c>
      <c r="N136" s="9">
        <v>8546</v>
      </c>
      <c r="O136" s="9">
        <v>2348</v>
      </c>
      <c r="P136" s="9">
        <v>9623</v>
      </c>
      <c r="Q136" s="9">
        <v>504.5</v>
      </c>
      <c r="R136" s="9">
        <v>736.9</v>
      </c>
      <c r="S136" s="9">
        <v>1.8425</v>
      </c>
      <c r="T136" s="9">
        <v>3.0636999999999999</v>
      </c>
      <c r="U136" s="10">
        <v>860</v>
      </c>
      <c r="V136">
        <v>76.459999999999994</v>
      </c>
    </row>
    <row r="137" spans="1:22" x14ac:dyDescent="0.25">
      <c r="A137" s="11"/>
      <c r="B137" s="12"/>
      <c r="C137" s="18">
        <v>46133</v>
      </c>
      <c r="D137" s="9">
        <v>644.5</v>
      </c>
      <c r="E137" s="9">
        <v>683.5</v>
      </c>
      <c r="F137" s="9">
        <v>7.1050000000000004</v>
      </c>
      <c r="G137" s="9">
        <v>481.75</v>
      </c>
      <c r="H137" s="9">
        <v>1179.5</v>
      </c>
      <c r="I137" s="9">
        <v>313</v>
      </c>
      <c r="J137" s="9">
        <v>65.61</v>
      </c>
      <c r="K137" s="9">
        <v>4510</v>
      </c>
      <c r="L137" s="9">
        <v>9545</v>
      </c>
      <c r="M137" s="9">
        <v>3014</v>
      </c>
      <c r="N137" s="9">
        <v>8439</v>
      </c>
      <c r="O137" s="9">
        <v>2317</v>
      </c>
      <c r="P137" s="9">
        <v>9535</v>
      </c>
      <c r="Q137" s="9">
        <v>503.75</v>
      </c>
      <c r="R137" s="9">
        <v>737</v>
      </c>
      <c r="S137" s="9">
        <v>1.83</v>
      </c>
      <c r="T137" s="9">
        <v>2.9893000000000001</v>
      </c>
      <c r="U137" s="10">
        <v>845.75</v>
      </c>
      <c r="V137">
        <v>75.38</v>
      </c>
    </row>
    <row r="138" spans="1:22" x14ac:dyDescent="0.25">
      <c r="A138" s="8"/>
      <c r="B138" s="9"/>
      <c r="C138" s="18">
        <v>46132</v>
      </c>
      <c r="D138" s="9">
        <v>637.5</v>
      </c>
      <c r="E138" s="9">
        <v>674.25</v>
      </c>
      <c r="F138" s="9">
        <v>7.01</v>
      </c>
      <c r="G138" s="9">
        <v>479.5</v>
      </c>
      <c r="H138" s="9">
        <v>1171</v>
      </c>
      <c r="I138" s="9">
        <v>315</v>
      </c>
      <c r="J138" s="9">
        <v>63.83</v>
      </c>
      <c r="K138" s="9">
        <v>4429</v>
      </c>
      <c r="L138" s="9">
        <v>9332</v>
      </c>
      <c r="M138" s="9">
        <v>3003</v>
      </c>
      <c r="N138" s="9">
        <v>8362</v>
      </c>
      <c r="O138" s="9">
        <v>2301</v>
      </c>
      <c r="P138" s="9">
        <v>9417</v>
      </c>
      <c r="Q138" s="9">
        <v>496</v>
      </c>
      <c r="R138" s="9">
        <v>730.8</v>
      </c>
      <c r="S138" s="9">
        <v>1.8325</v>
      </c>
      <c r="T138" s="9">
        <v>2.9348000000000001</v>
      </c>
      <c r="U138" s="10">
        <v>830.75</v>
      </c>
      <c r="V138">
        <v>74.58</v>
      </c>
    </row>
    <row r="139" spans="1:22" x14ac:dyDescent="0.25">
      <c r="A139" s="11"/>
      <c r="B139" s="12"/>
      <c r="C139" s="18">
        <v>46129</v>
      </c>
      <c r="D139" s="9">
        <v>630.25</v>
      </c>
      <c r="E139" s="9">
        <v>676.25</v>
      </c>
      <c r="F139" s="9">
        <v>7.0049999999999999</v>
      </c>
      <c r="G139" s="9">
        <v>477</v>
      </c>
      <c r="H139" s="9">
        <v>1169.75</v>
      </c>
      <c r="I139" s="9">
        <v>317.39999999999998</v>
      </c>
      <c r="J139" s="9">
        <v>62.61</v>
      </c>
      <c r="K139" s="9">
        <v>4388</v>
      </c>
      <c r="L139" s="9">
        <v>9326</v>
      </c>
      <c r="M139" s="9">
        <v>3013</v>
      </c>
      <c r="N139" s="9">
        <v>8389</v>
      </c>
      <c r="O139" s="9">
        <v>2309</v>
      </c>
      <c r="P139" s="9">
        <v>9420</v>
      </c>
      <c r="Q139" s="9">
        <v>491.75</v>
      </c>
      <c r="R139" s="9">
        <v>718.6</v>
      </c>
      <c r="S139" s="9">
        <v>1.8225</v>
      </c>
      <c r="T139" s="9">
        <v>2.8546999999999998</v>
      </c>
      <c r="U139" s="10">
        <v>800.5</v>
      </c>
      <c r="V139">
        <v>72.650000000000006</v>
      </c>
    </row>
    <row r="140" spans="1:22" x14ac:dyDescent="0.25">
      <c r="A140" s="8"/>
      <c r="B140" s="9"/>
      <c r="C140" s="18">
        <v>46128</v>
      </c>
      <c r="D140" s="9">
        <v>636</v>
      </c>
      <c r="E140" s="9">
        <v>680.5</v>
      </c>
      <c r="F140" s="9">
        <v>6.9749999999999996</v>
      </c>
      <c r="G140" s="9">
        <v>476.75</v>
      </c>
      <c r="H140" s="9">
        <v>1168.25</v>
      </c>
      <c r="I140" s="9">
        <v>317.2</v>
      </c>
      <c r="J140" s="9">
        <v>63.59</v>
      </c>
      <c r="K140" s="9">
        <v>4420</v>
      </c>
      <c r="L140" s="9">
        <v>9261</v>
      </c>
      <c r="M140" s="9">
        <v>3027</v>
      </c>
      <c r="N140" s="9">
        <v>8358</v>
      </c>
      <c r="O140" s="9">
        <v>2317</v>
      </c>
      <c r="P140" s="9">
        <v>9378</v>
      </c>
      <c r="Q140" s="9">
        <v>504.25</v>
      </c>
      <c r="R140" s="9">
        <v>729.8</v>
      </c>
      <c r="S140" s="9">
        <v>1.8174999999999999</v>
      </c>
      <c r="T140" s="9">
        <v>3.0436999999999999</v>
      </c>
      <c r="U140" s="10">
        <v>856.5</v>
      </c>
      <c r="V140">
        <v>76.59</v>
      </c>
    </row>
    <row r="141" spans="1:22" x14ac:dyDescent="0.25">
      <c r="A141" s="11"/>
      <c r="B141" s="12"/>
      <c r="C141" s="18">
        <v>46127</v>
      </c>
      <c r="D141" s="9">
        <v>632</v>
      </c>
      <c r="E141" s="9">
        <v>669.5</v>
      </c>
      <c r="F141" s="9">
        <v>6.8525</v>
      </c>
      <c r="G141" s="9">
        <v>478</v>
      </c>
      <c r="H141" s="9">
        <v>1166.25</v>
      </c>
      <c r="I141" s="9">
        <v>321</v>
      </c>
      <c r="J141" s="9">
        <v>62.54</v>
      </c>
      <c r="K141" s="9">
        <v>4414</v>
      </c>
      <c r="L141" s="9">
        <v>9249</v>
      </c>
      <c r="M141" s="9">
        <v>3017</v>
      </c>
      <c r="N141" s="9">
        <v>8336</v>
      </c>
      <c r="O141" s="9">
        <v>2315</v>
      </c>
      <c r="P141" s="9">
        <v>9367</v>
      </c>
      <c r="Q141" s="9">
        <v>498.25</v>
      </c>
      <c r="R141" s="9">
        <v>726.6</v>
      </c>
      <c r="S141" s="9">
        <v>1.82</v>
      </c>
      <c r="T141" s="9">
        <v>3.0085000000000002</v>
      </c>
      <c r="U141" s="10">
        <v>844.75</v>
      </c>
      <c r="V141">
        <v>76.400000000000006</v>
      </c>
    </row>
    <row r="142" spans="1:22" x14ac:dyDescent="0.25">
      <c r="A142" s="8"/>
      <c r="B142" s="9"/>
      <c r="C142" s="18">
        <v>46126</v>
      </c>
      <c r="D142" s="9">
        <v>630.5</v>
      </c>
      <c r="E142" s="9">
        <v>666.75</v>
      </c>
      <c r="F142" s="9">
        <v>6.83</v>
      </c>
      <c r="G142" s="9">
        <v>470.5</v>
      </c>
      <c r="H142" s="9">
        <v>1155.25</v>
      </c>
      <c r="I142" s="9">
        <v>318.3</v>
      </c>
      <c r="J142" s="9">
        <v>62.11</v>
      </c>
      <c r="K142" s="9">
        <v>4422</v>
      </c>
      <c r="L142" s="9">
        <v>9315</v>
      </c>
      <c r="M142" s="9">
        <v>3026</v>
      </c>
      <c r="N142" s="9">
        <v>8386</v>
      </c>
      <c r="O142" s="9">
        <v>2322</v>
      </c>
      <c r="P142" s="9">
        <v>9381</v>
      </c>
      <c r="Q142" s="9">
        <v>496</v>
      </c>
      <c r="R142" s="9">
        <v>724.5</v>
      </c>
      <c r="S142" s="9">
        <v>1.8274999999999999</v>
      </c>
      <c r="T142" s="9">
        <v>2.9964</v>
      </c>
      <c r="U142" s="10">
        <v>845.5</v>
      </c>
      <c r="V142">
        <v>75.739999999999995</v>
      </c>
    </row>
    <row r="143" spans="1:22" x14ac:dyDescent="0.25">
      <c r="A143" s="11"/>
      <c r="B143" s="12"/>
      <c r="C143" s="18">
        <v>46125</v>
      </c>
      <c r="D143" s="9">
        <v>621</v>
      </c>
      <c r="E143" s="9">
        <v>647.25</v>
      </c>
      <c r="F143" s="9">
        <v>6.71</v>
      </c>
      <c r="G143" s="9">
        <v>471</v>
      </c>
      <c r="H143" s="9">
        <v>1160.75</v>
      </c>
      <c r="I143" s="9">
        <v>319.5</v>
      </c>
      <c r="J143" s="9">
        <v>62.52</v>
      </c>
      <c r="K143" s="9">
        <v>4493</v>
      </c>
      <c r="L143" s="9">
        <v>9408</v>
      </c>
      <c r="M143" s="9">
        <v>3031</v>
      </c>
      <c r="N143" s="9">
        <v>8425</v>
      </c>
      <c r="O143" s="9">
        <v>2326</v>
      </c>
      <c r="P143" s="9">
        <v>9420</v>
      </c>
      <c r="Q143" s="9">
        <v>500</v>
      </c>
      <c r="R143" s="9">
        <v>725.4</v>
      </c>
      <c r="S143" s="9">
        <v>1.8325</v>
      </c>
      <c r="T143" s="9">
        <v>3.0592999999999999</v>
      </c>
      <c r="U143" s="10">
        <v>878.25</v>
      </c>
      <c r="V143">
        <v>77.34</v>
      </c>
    </row>
    <row r="144" spans="1:22" x14ac:dyDescent="0.25">
      <c r="A144" s="8"/>
      <c r="B144" s="9"/>
      <c r="C144" s="18">
        <v>46122</v>
      </c>
      <c r="D144" s="9">
        <v>611.5</v>
      </c>
      <c r="E144" s="9">
        <v>637.75</v>
      </c>
      <c r="F144" s="9">
        <v>6.6</v>
      </c>
      <c r="G144" s="9">
        <v>472.25</v>
      </c>
      <c r="H144" s="9">
        <v>1168.25</v>
      </c>
      <c r="I144" s="9">
        <v>320.7</v>
      </c>
      <c r="J144" s="9">
        <v>63.25</v>
      </c>
      <c r="K144" s="9">
        <v>4454</v>
      </c>
      <c r="L144" s="9">
        <v>9478</v>
      </c>
      <c r="M144" s="9">
        <v>3031</v>
      </c>
      <c r="N144" s="9">
        <v>8449</v>
      </c>
      <c r="O144" s="9">
        <v>2329</v>
      </c>
      <c r="P144" s="9">
        <v>9456</v>
      </c>
      <c r="Q144" s="9">
        <v>497.25</v>
      </c>
      <c r="R144" s="9">
        <v>726</v>
      </c>
      <c r="S144" s="9">
        <v>1.83</v>
      </c>
      <c r="T144" s="9">
        <v>3.0095000000000001</v>
      </c>
      <c r="U144" s="10">
        <v>852.75</v>
      </c>
      <c r="V144">
        <v>75.25</v>
      </c>
    </row>
    <row r="145" spans="1:22" x14ac:dyDescent="0.25">
      <c r="A145" s="11"/>
      <c r="B145" s="12"/>
      <c r="C145" s="18">
        <v>46121</v>
      </c>
      <c r="D145" s="9">
        <v>615.75</v>
      </c>
      <c r="E145" s="9">
        <v>639.5</v>
      </c>
      <c r="F145" s="9">
        <v>6.6574999999999998</v>
      </c>
      <c r="G145" s="9">
        <v>474.25</v>
      </c>
      <c r="H145" s="9">
        <v>1163.25</v>
      </c>
      <c r="I145" s="9">
        <v>312.10000000000002</v>
      </c>
      <c r="J145" s="9">
        <v>63.78</v>
      </c>
      <c r="K145" s="9">
        <v>4551</v>
      </c>
      <c r="L145" s="9">
        <v>9396</v>
      </c>
      <c r="M145" s="9">
        <v>3023</v>
      </c>
      <c r="N145" s="9">
        <v>8404</v>
      </c>
      <c r="O145" s="9">
        <v>2318</v>
      </c>
      <c r="P145" s="9">
        <v>9403</v>
      </c>
      <c r="Q145" s="9">
        <v>495.25</v>
      </c>
      <c r="R145" s="9">
        <v>727.1</v>
      </c>
      <c r="S145" s="9">
        <v>1.825</v>
      </c>
      <c r="T145" s="9">
        <v>3.0034000000000001</v>
      </c>
      <c r="U145" s="10">
        <v>859.25</v>
      </c>
      <c r="V145">
        <v>74.39</v>
      </c>
    </row>
    <row r="146" spans="1:22" x14ac:dyDescent="0.25">
      <c r="A146" s="8"/>
      <c r="B146" s="9"/>
      <c r="C146" s="18">
        <v>46120</v>
      </c>
      <c r="D146" s="9">
        <v>623</v>
      </c>
      <c r="E146" s="9">
        <v>646.25</v>
      </c>
      <c r="F146" s="9">
        <v>6.7074999999999996</v>
      </c>
      <c r="G146" s="9">
        <v>476</v>
      </c>
      <c r="H146" s="9">
        <v>1162</v>
      </c>
      <c r="I146" s="9">
        <v>310.5</v>
      </c>
      <c r="J146" s="9">
        <v>63.4</v>
      </c>
      <c r="K146" s="9">
        <v>4465</v>
      </c>
      <c r="L146" s="9">
        <v>9414</v>
      </c>
      <c r="M146" s="9">
        <v>3014</v>
      </c>
      <c r="N146" s="9">
        <v>8476</v>
      </c>
      <c r="O146" s="9">
        <v>2306</v>
      </c>
      <c r="P146" s="9">
        <v>9501</v>
      </c>
      <c r="Q146" s="9">
        <v>495.75</v>
      </c>
      <c r="R146" s="9">
        <v>721.5</v>
      </c>
      <c r="S146" s="9">
        <v>1.8274999999999999</v>
      </c>
      <c r="T146" s="9">
        <v>2.9645000000000001</v>
      </c>
      <c r="U146" s="10">
        <v>832.75</v>
      </c>
      <c r="V146">
        <v>74.22</v>
      </c>
    </row>
    <row r="147" spans="1:22" x14ac:dyDescent="0.25">
      <c r="A147" s="11"/>
      <c r="B147" s="12"/>
      <c r="C147" s="18">
        <v>46119</v>
      </c>
      <c r="D147" s="9">
        <v>638.75</v>
      </c>
      <c r="E147" s="9">
        <v>656.5</v>
      </c>
      <c r="F147" s="9">
        <v>6.8574999999999999</v>
      </c>
      <c r="G147" s="9">
        <v>478</v>
      </c>
      <c r="H147" s="9">
        <v>1160.75</v>
      </c>
      <c r="I147" s="9">
        <v>307.10000000000002</v>
      </c>
      <c r="J147" s="9">
        <v>65.37</v>
      </c>
      <c r="K147" s="9">
        <v>4617</v>
      </c>
      <c r="L147" s="9">
        <v>9770</v>
      </c>
      <c r="M147" s="9">
        <v>3006</v>
      </c>
      <c r="N147" s="9">
        <v>8676</v>
      </c>
      <c r="O147" s="9">
        <v>2301</v>
      </c>
      <c r="P147" s="9">
        <v>9671</v>
      </c>
      <c r="Q147" s="9">
        <v>504</v>
      </c>
      <c r="R147" s="9">
        <v>734.2</v>
      </c>
      <c r="S147" s="9">
        <v>1.85</v>
      </c>
      <c r="T147" s="9">
        <v>3.0493000000000001</v>
      </c>
      <c r="U147" s="10">
        <v>883.5</v>
      </c>
      <c r="V147">
        <v>75.180000000000007</v>
      </c>
    </row>
    <row r="148" spans="1:22" x14ac:dyDescent="0.25">
      <c r="A148" s="8"/>
      <c r="B148" s="9"/>
      <c r="C148" s="18">
        <v>46118</v>
      </c>
      <c r="D148" s="9">
        <v>637.5</v>
      </c>
      <c r="E148" s="9">
        <v>657.25</v>
      </c>
      <c r="F148" s="9">
        <v>6.8849999999999998</v>
      </c>
      <c r="G148" s="9">
        <v>483</v>
      </c>
      <c r="H148" s="9">
        <v>1167</v>
      </c>
      <c r="I148" s="9">
        <v>309</v>
      </c>
      <c r="J148" s="9">
        <v>65.61</v>
      </c>
      <c r="K148" s="9">
        <v>4658</v>
      </c>
      <c r="L148" s="9"/>
      <c r="M148" s="9"/>
      <c r="N148" s="9"/>
      <c r="O148" s="9"/>
      <c r="P148" s="9"/>
      <c r="Q148" s="9"/>
      <c r="R148" s="9">
        <v>738.9</v>
      </c>
      <c r="S148" s="9">
        <v>1.86</v>
      </c>
      <c r="T148" s="9">
        <v>2.9950000000000001</v>
      </c>
      <c r="U148" s="10">
        <v>858.75</v>
      </c>
      <c r="V148">
        <v>73.86</v>
      </c>
    </row>
    <row r="149" spans="1:22" x14ac:dyDescent="0.25">
      <c r="A149" s="11"/>
      <c r="B149" s="12"/>
      <c r="C149" s="18">
        <v>46115</v>
      </c>
      <c r="D149" s="9">
        <v>639</v>
      </c>
      <c r="E149" s="9">
        <v>661.75</v>
      </c>
      <c r="F149" s="9"/>
      <c r="G149" s="9">
        <v>481.25</v>
      </c>
      <c r="H149" s="9">
        <v>1163.75</v>
      </c>
      <c r="I149" s="9">
        <v>309.10000000000002</v>
      </c>
      <c r="J149" s="9">
        <v>65.150000000000006</v>
      </c>
      <c r="K149" s="9">
        <v>4658</v>
      </c>
      <c r="L149" s="9">
        <v>9744</v>
      </c>
      <c r="M149" s="9">
        <v>3016</v>
      </c>
      <c r="N149" s="9">
        <v>8624</v>
      </c>
      <c r="O149" s="9">
        <v>2310</v>
      </c>
      <c r="P149" s="9">
        <v>9679</v>
      </c>
      <c r="Q149" s="9"/>
      <c r="R149" s="9"/>
      <c r="S149" s="9">
        <v>1.8425</v>
      </c>
      <c r="T149" s="9">
        <v>2.9146999999999998</v>
      </c>
      <c r="U149" s="10"/>
      <c r="V149">
        <v>72.11</v>
      </c>
    </row>
    <row r="150" spans="1:22" x14ac:dyDescent="0.25">
      <c r="A150" s="8"/>
      <c r="B150" s="9"/>
      <c r="C150" s="18">
        <v>46114</v>
      </c>
      <c r="D150" s="9">
        <v>639</v>
      </c>
      <c r="E150" s="9">
        <v>661.75</v>
      </c>
      <c r="F150" s="9">
        <v>6.9074999999999998</v>
      </c>
      <c r="G150" s="9">
        <v>481.25</v>
      </c>
      <c r="H150" s="9">
        <v>1163.75</v>
      </c>
      <c r="I150" s="9">
        <v>309.10000000000002</v>
      </c>
      <c r="J150" s="9">
        <v>65.150000000000006</v>
      </c>
      <c r="K150" s="9">
        <v>4616</v>
      </c>
      <c r="L150" s="9">
        <v>9634</v>
      </c>
      <c r="M150" s="9">
        <v>3013</v>
      </c>
      <c r="N150" s="9">
        <v>8578</v>
      </c>
      <c r="O150" s="9">
        <v>2323</v>
      </c>
      <c r="P150" s="9">
        <v>9669</v>
      </c>
      <c r="Q150" s="9">
        <v>503.5</v>
      </c>
      <c r="R150" s="9">
        <v>739.8</v>
      </c>
      <c r="S150" s="9">
        <v>1.8425</v>
      </c>
      <c r="T150" s="9">
        <v>2.9146999999999998</v>
      </c>
      <c r="U150" s="10">
        <v>827</v>
      </c>
      <c r="V150">
        <v>72.11</v>
      </c>
    </row>
    <row r="151" spans="1:22" x14ac:dyDescent="0.25">
      <c r="A151" s="11"/>
      <c r="B151" s="12"/>
      <c r="C151" s="18">
        <v>46113</v>
      </c>
      <c r="D151" s="9">
        <v>638.5</v>
      </c>
      <c r="E151" s="9">
        <v>659.25</v>
      </c>
      <c r="F151" s="9">
        <v>6.8674999999999997</v>
      </c>
      <c r="G151" s="9">
        <v>481.25</v>
      </c>
      <c r="H151" s="9">
        <v>1165.25</v>
      </c>
      <c r="I151" s="9">
        <v>313.3</v>
      </c>
      <c r="J151" s="9">
        <v>64.03</v>
      </c>
      <c r="K151" s="9">
        <v>4590</v>
      </c>
      <c r="L151" s="9">
        <v>9762</v>
      </c>
      <c r="M151" s="9">
        <v>3021</v>
      </c>
      <c r="N151" s="9">
        <v>8618</v>
      </c>
      <c r="O151" s="9">
        <v>2334</v>
      </c>
      <c r="P151" s="9">
        <v>9723</v>
      </c>
      <c r="Q151" s="9">
        <v>499</v>
      </c>
      <c r="R151" s="9">
        <v>731.4</v>
      </c>
      <c r="S151" s="9">
        <v>1.83</v>
      </c>
      <c r="T151" s="9">
        <v>2.8755000000000002</v>
      </c>
      <c r="U151" s="10">
        <v>815</v>
      </c>
      <c r="V151">
        <v>71.39</v>
      </c>
    </row>
    <row r="152" spans="1:22" x14ac:dyDescent="0.25">
      <c r="A152" s="8"/>
      <c r="B152" s="9"/>
      <c r="C152" s="18">
        <v>46112</v>
      </c>
      <c r="D152" s="9">
        <v>654.5</v>
      </c>
      <c r="E152" s="9">
        <v>678</v>
      </c>
      <c r="F152" s="9">
        <v>6.9924999999999997</v>
      </c>
      <c r="G152" s="9">
        <v>484.25</v>
      </c>
      <c r="H152" s="9">
        <v>1167.5</v>
      </c>
      <c r="I152" s="9">
        <v>311.5</v>
      </c>
      <c r="J152" s="9">
        <v>65.3</v>
      </c>
      <c r="K152" s="9">
        <v>4687</v>
      </c>
      <c r="L152" s="9">
        <v>9676</v>
      </c>
      <c r="M152" s="9">
        <v>3028</v>
      </c>
      <c r="N152" s="9">
        <v>8606</v>
      </c>
      <c r="O152" s="9">
        <v>2349</v>
      </c>
      <c r="P152" s="9">
        <v>9733</v>
      </c>
      <c r="Q152" s="9">
        <v>507.5</v>
      </c>
      <c r="R152" s="9">
        <v>742.2</v>
      </c>
      <c r="S152" s="9">
        <v>1.855</v>
      </c>
      <c r="T152" s="9">
        <v>2.8963999999999999</v>
      </c>
      <c r="U152" s="10">
        <v>849</v>
      </c>
      <c r="V152">
        <v>72.47</v>
      </c>
    </row>
    <row r="153" spans="1:22" x14ac:dyDescent="0.25">
      <c r="A153" s="11"/>
      <c r="B153" s="12"/>
      <c r="C153" s="18">
        <v>46111</v>
      </c>
      <c r="D153" s="9">
        <v>648</v>
      </c>
      <c r="E153" s="9">
        <v>672</v>
      </c>
      <c r="F153" s="9">
        <v>6.92</v>
      </c>
      <c r="G153" s="9">
        <v>484</v>
      </c>
      <c r="H153" s="9">
        <v>1154.75</v>
      </c>
      <c r="I153" s="9">
        <v>309.10000000000002</v>
      </c>
      <c r="J153" s="9">
        <v>64.94</v>
      </c>
      <c r="K153" s="9">
        <v>4643</v>
      </c>
      <c r="L153" s="9">
        <v>9580</v>
      </c>
      <c r="M153" s="9">
        <v>3046</v>
      </c>
      <c r="N153" s="9">
        <v>8558</v>
      </c>
      <c r="O153" s="9">
        <v>2369</v>
      </c>
      <c r="P153" s="9">
        <v>9690</v>
      </c>
      <c r="Q153" s="9">
        <v>501.75</v>
      </c>
      <c r="R153" s="9">
        <v>740.1</v>
      </c>
      <c r="S153" s="9">
        <v>1.865</v>
      </c>
      <c r="T153" s="9">
        <v>3.0059</v>
      </c>
      <c r="U153" s="10">
        <v>870.75</v>
      </c>
      <c r="V153">
        <v>76.84</v>
      </c>
    </row>
    <row r="154" spans="1:22" x14ac:dyDescent="0.25">
      <c r="A154" s="8"/>
      <c r="B154" s="9"/>
      <c r="C154" s="18">
        <v>46108</v>
      </c>
      <c r="D154" s="9">
        <v>646</v>
      </c>
      <c r="E154" s="9">
        <v>678.5</v>
      </c>
      <c r="F154" s="9">
        <v>6.8975</v>
      </c>
      <c r="G154" s="9">
        <v>490.25</v>
      </c>
      <c r="H154" s="9">
        <v>1155</v>
      </c>
      <c r="I154" s="9">
        <v>309</v>
      </c>
      <c r="J154" s="9">
        <v>64.209999999999994</v>
      </c>
      <c r="K154" s="9">
        <v>4511</v>
      </c>
      <c r="L154" s="9">
        <v>9512</v>
      </c>
      <c r="M154" s="9">
        <v>3053</v>
      </c>
      <c r="N154" s="9">
        <v>8552</v>
      </c>
      <c r="O154" s="9">
        <v>2373</v>
      </c>
      <c r="P154" s="9">
        <v>9688</v>
      </c>
      <c r="Q154" s="9">
        <v>495.75</v>
      </c>
      <c r="R154" s="9">
        <v>734.5</v>
      </c>
      <c r="S154" s="9">
        <v>1.88</v>
      </c>
      <c r="T154" s="9">
        <v>3.0284</v>
      </c>
      <c r="U154" s="10">
        <v>866.75</v>
      </c>
      <c r="V154">
        <v>77.36</v>
      </c>
    </row>
    <row r="155" spans="1:22" x14ac:dyDescent="0.25">
      <c r="A155" s="11"/>
      <c r="B155" s="12"/>
      <c r="C155" s="18">
        <v>46107</v>
      </c>
      <c r="D155" s="9">
        <v>646</v>
      </c>
      <c r="E155" s="9">
        <v>673.25</v>
      </c>
      <c r="F155" s="9">
        <v>6.875</v>
      </c>
      <c r="G155" s="9">
        <v>494.5</v>
      </c>
      <c r="H155" s="9">
        <v>1163.5</v>
      </c>
      <c r="I155" s="9">
        <v>313.3</v>
      </c>
      <c r="J155" s="9">
        <v>64.47</v>
      </c>
      <c r="K155" s="9">
        <v>4488</v>
      </c>
      <c r="L155" s="9">
        <v>9440</v>
      </c>
      <c r="M155" s="9">
        <v>3061</v>
      </c>
      <c r="N155" s="9">
        <v>8502</v>
      </c>
      <c r="O155" s="9">
        <v>2378</v>
      </c>
      <c r="P155" s="9">
        <v>9627</v>
      </c>
      <c r="Q155" s="9">
        <v>496</v>
      </c>
      <c r="R155" s="9">
        <v>742.9</v>
      </c>
      <c r="S155" s="9">
        <v>1.8474999999999999</v>
      </c>
      <c r="T155" s="9">
        <v>3.0219</v>
      </c>
      <c r="U155" s="10">
        <v>858.75</v>
      </c>
      <c r="V155">
        <v>77.650000000000006</v>
      </c>
    </row>
    <row r="156" spans="1:22" x14ac:dyDescent="0.25">
      <c r="A156" s="8"/>
      <c r="B156" s="9"/>
      <c r="C156" s="18">
        <v>46106</v>
      </c>
      <c r="D156" s="9">
        <v>640</v>
      </c>
      <c r="E156" s="9">
        <v>666.25</v>
      </c>
      <c r="F156" s="9">
        <v>6.8250000000000002</v>
      </c>
      <c r="G156" s="9">
        <v>493.25</v>
      </c>
      <c r="H156" s="9">
        <v>1161.25</v>
      </c>
      <c r="I156" s="9">
        <v>312.10000000000002</v>
      </c>
      <c r="J156" s="9">
        <v>63.86</v>
      </c>
      <c r="K156" s="9">
        <v>4403</v>
      </c>
      <c r="L156" s="9">
        <v>9392</v>
      </c>
      <c r="M156" s="9">
        <v>3052</v>
      </c>
      <c r="N156" s="9">
        <v>8462</v>
      </c>
      <c r="O156" s="9">
        <v>2378</v>
      </c>
      <c r="P156" s="9">
        <v>9632</v>
      </c>
      <c r="Q156" s="9">
        <v>494</v>
      </c>
      <c r="R156" s="9">
        <v>739.5</v>
      </c>
      <c r="S156" s="9">
        <v>1.8374999999999999</v>
      </c>
      <c r="T156" s="9">
        <v>2.9171999999999998</v>
      </c>
      <c r="U156" s="10">
        <v>819</v>
      </c>
      <c r="V156">
        <v>76</v>
      </c>
    </row>
    <row r="157" spans="1:22" x14ac:dyDescent="0.25">
      <c r="A157" s="11"/>
      <c r="B157" s="12"/>
      <c r="C157" s="18">
        <v>46105</v>
      </c>
      <c r="D157" s="9">
        <v>633.75</v>
      </c>
      <c r="E157" s="9">
        <v>653.75</v>
      </c>
      <c r="F157" s="9">
        <v>6.7525000000000004</v>
      </c>
      <c r="G157" s="9">
        <v>489</v>
      </c>
      <c r="H157" s="9">
        <v>1154.75</v>
      </c>
      <c r="I157" s="9">
        <v>313.10000000000002</v>
      </c>
      <c r="J157" s="9">
        <v>62.87</v>
      </c>
      <c r="K157" s="9">
        <v>4398</v>
      </c>
      <c r="L157" s="9">
        <v>9510</v>
      </c>
      <c r="M157" s="9">
        <v>3069</v>
      </c>
      <c r="N157" s="9">
        <v>8518</v>
      </c>
      <c r="O157" s="9">
        <v>2392</v>
      </c>
      <c r="P157" s="9">
        <v>9608</v>
      </c>
      <c r="Q157" s="9">
        <v>492.5</v>
      </c>
      <c r="R157" s="9">
        <v>734.8</v>
      </c>
      <c r="S157" s="9">
        <v>1.835</v>
      </c>
      <c r="T157" s="9">
        <v>2.9489999999999998</v>
      </c>
      <c r="U157" s="10">
        <v>842.5</v>
      </c>
      <c r="V157">
        <v>76.760000000000005</v>
      </c>
    </row>
    <row r="158" spans="1:22" x14ac:dyDescent="0.25">
      <c r="A158" s="8"/>
      <c r="B158" s="9"/>
      <c r="C158" s="18">
        <v>46104</v>
      </c>
      <c r="D158" s="9">
        <v>631.5</v>
      </c>
      <c r="E158" s="9">
        <v>652</v>
      </c>
      <c r="F158" s="9">
        <v>6.72</v>
      </c>
      <c r="G158" s="9">
        <v>486.5</v>
      </c>
      <c r="H158" s="9">
        <v>1157.5</v>
      </c>
      <c r="I158" s="9">
        <v>316.2</v>
      </c>
      <c r="J158" s="9">
        <v>62.44</v>
      </c>
      <c r="K158" s="9"/>
      <c r="L158" s="9">
        <v>9574</v>
      </c>
      <c r="M158" s="9">
        <v>3083</v>
      </c>
      <c r="N158" s="9">
        <v>8592</v>
      </c>
      <c r="O158" s="9">
        <v>2411</v>
      </c>
      <c r="P158" s="9">
        <v>9676</v>
      </c>
      <c r="Q158" s="9">
        <v>489.5</v>
      </c>
      <c r="R158" s="9">
        <v>732.3</v>
      </c>
      <c r="S158" s="9">
        <v>1.8374999999999999</v>
      </c>
      <c r="T158" s="9">
        <v>2.8083999999999998</v>
      </c>
      <c r="U158" s="10">
        <v>829.5</v>
      </c>
      <c r="V158">
        <v>73.59</v>
      </c>
    </row>
    <row r="159" spans="1:22" x14ac:dyDescent="0.25">
      <c r="A159" s="11"/>
      <c r="B159" s="12"/>
      <c r="C159" s="18">
        <v>46101</v>
      </c>
      <c r="D159" s="9">
        <v>637.75</v>
      </c>
      <c r="E159" s="9">
        <v>654.75</v>
      </c>
      <c r="F159" s="9">
        <v>6.7149999999999999</v>
      </c>
      <c r="G159" s="9">
        <v>490.75</v>
      </c>
      <c r="H159" s="9">
        <v>1151.5</v>
      </c>
      <c r="I159" s="9">
        <v>318.10000000000002</v>
      </c>
      <c r="J159" s="9">
        <v>62.27</v>
      </c>
      <c r="K159" s="9"/>
      <c r="L159" s="9">
        <v>9428</v>
      </c>
      <c r="M159" s="9">
        <v>3067</v>
      </c>
      <c r="N159" s="9">
        <v>8514</v>
      </c>
      <c r="O159" s="9">
        <v>2403</v>
      </c>
      <c r="P159" s="9">
        <v>9610</v>
      </c>
      <c r="Q159" s="9">
        <v>492.75</v>
      </c>
      <c r="R159" s="9">
        <v>735.5</v>
      </c>
      <c r="S159" s="9">
        <v>1.8474999999999999</v>
      </c>
      <c r="T159" s="9">
        <v>3.0203000000000002</v>
      </c>
      <c r="U159" s="10">
        <v>852.25</v>
      </c>
      <c r="V159">
        <v>78.58</v>
      </c>
    </row>
    <row r="160" spans="1:22" x14ac:dyDescent="0.25">
      <c r="A160" s="8"/>
      <c r="B160" s="9"/>
      <c r="C160" s="18">
        <v>46100</v>
      </c>
      <c r="D160" s="9">
        <v>650</v>
      </c>
      <c r="E160" s="9">
        <v>675.75</v>
      </c>
      <c r="F160" s="9">
        <v>6.8624999999999998</v>
      </c>
      <c r="G160" s="9">
        <v>494.5</v>
      </c>
      <c r="H160" s="9">
        <v>1156.75</v>
      </c>
      <c r="I160" s="9">
        <v>321.5</v>
      </c>
      <c r="J160" s="9">
        <v>62.27</v>
      </c>
      <c r="K160" s="9">
        <v>4445</v>
      </c>
      <c r="L160" s="9">
        <v>9482</v>
      </c>
      <c r="M160" s="9">
        <v>3048</v>
      </c>
      <c r="N160" s="9">
        <v>8520</v>
      </c>
      <c r="O160" s="9">
        <v>2382</v>
      </c>
      <c r="P160" s="9">
        <v>9622</v>
      </c>
      <c r="Q160" s="9">
        <v>492.25</v>
      </c>
      <c r="R160" s="9">
        <v>737.9</v>
      </c>
      <c r="S160" s="9">
        <v>1.845</v>
      </c>
      <c r="T160" s="9">
        <v>2.907</v>
      </c>
      <c r="U160" s="10">
        <v>831.75</v>
      </c>
      <c r="V160">
        <v>78.41</v>
      </c>
    </row>
    <row r="161" spans="1:22" x14ac:dyDescent="0.25">
      <c r="A161" s="11"/>
      <c r="B161" s="12"/>
      <c r="C161" s="18">
        <v>46099</v>
      </c>
      <c r="D161" s="9">
        <v>644.25</v>
      </c>
      <c r="E161" s="9">
        <v>673.5</v>
      </c>
      <c r="F161" s="9">
        <v>6.8075000000000001</v>
      </c>
      <c r="G161" s="9">
        <v>489.75</v>
      </c>
      <c r="H161" s="9">
        <v>1152.25</v>
      </c>
      <c r="I161" s="9">
        <v>314.7</v>
      </c>
      <c r="J161" s="9">
        <v>62.43</v>
      </c>
      <c r="K161" s="9">
        <v>4348</v>
      </c>
      <c r="L161" s="9">
        <v>9534</v>
      </c>
      <c r="M161" s="9">
        <v>3043</v>
      </c>
      <c r="N161" s="9">
        <v>8494</v>
      </c>
      <c r="O161" s="9">
        <v>2377</v>
      </c>
      <c r="P161" s="9">
        <v>9589</v>
      </c>
      <c r="Q161" s="9">
        <v>493.75</v>
      </c>
      <c r="R161" s="9">
        <v>730.5</v>
      </c>
      <c r="S161" s="9">
        <v>1.8125</v>
      </c>
      <c r="T161" s="9">
        <v>2.8767999999999998</v>
      </c>
      <c r="U161" s="10">
        <v>819.75</v>
      </c>
      <c r="V161">
        <v>77.86</v>
      </c>
    </row>
    <row r="162" spans="1:22" x14ac:dyDescent="0.25">
      <c r="A162" s="8"/>
      <c r="B162" s="9"/>
      <c r="C162" s="18">
        <v>46098</v>
      </c>
      <c r="D162" s="9">
        <v>630.25</v>
      </c>
      <c r="E162" s="9">
        <v>655</v>
      </c>
      <c r="F162" s="9">
        <v>6.6924999999999999</v>
      </c>
      <c r="G162" s="9">
        <v>481.75</v>
      </c>
      <c r="H162" s="9">
        <v>1142.25</v>
      </c>
      <c r="I162" s="9">
        <v>309.8</v>
      </c>
      <c r="J162" s="9">
        <v>62.5</v>
      </c>
      <c r="K162" s="9">
        <v>4396</v>
      </c>
      <c r="L162" s="9">
        <v>9564</v>
      </c>
      <c r="M162" s="9">
        <v>3045</v>
      </c>
      <c r="N162" s="9">
        <v>8528</v>
      </c>
      <c r="O162" s="9">
        <v>2392</v>
      </c>
      <c r="P162" s="9">
        <v>9636</v>
      </c>
      <c r="Q162" s="9">
        <v>492.5</v>
      </c>
      <c r="R162" s="9">
        <v>731.6</v>
      </c>
      <c r="S162" s="9">
        <v>1.8075000000000001</v>
      </c>
      <c r="T162" s="9">
        <v>2.8258999999999999</v>
      </c>
      <c r="U162" s="10">
        <v>787.5</v>
      </c>
      <c r="V162">
        <v>76.36</v>
      </c>
    </row>
    <row r="163" spans="1:22" x14ac:dyDescent="0.25">
      <c r="A163" s="11"/>
      <c r="B163" s="12"/>
      <c r="C163" s="18">
        <v>46097</v>
      </c>
      <c r="D163" s="9">
        <v>638.25</v>
      </c>
      <c r="E163" s="9">
        <v>664</v>
      </c>
      <c r="F163" s="9">
        <v>6.7874999999999996</v>
      </c>
      <c r="G163" s="9">
        <v>480</v>
      </c>
      <c r="H163" s="9">
        <v>1131.75</v>
      </c>
      <c r="I163" s="9">
        <v>310.39999999999998</v>
      </c>
      <c r="J163" s="9">
        <v>60.68</v>
      </c>
      <c r="K163" s="9">
        <v>4469</v>
      </c>
      <c r="L163" s="9">
        <v>9592</v>
      </c>
      <c r="M163" s="9">
        <v>3056</v>
      </c>
      <c r="N163" s="9">
        <v>8614</v>
      </c>
      <c r="O163" s="9">
        <v>2405</v>
      </c>
      <c r="P163" s="9">
        <v>9682</v>
      </c>
      <c r="Q163" s="9">
        <v>486</v>
      </c>
      <c r="R163" s="9">
        <v>703.6</v>
      </c>
      <c r="S163" s="9">
        <v>1.7725</v>
      </c>
      <c r="T163" s="9">
        <v>2.7339000000000002</v>
      </c>
      <c r="U163" s="10">
        <v>786.25</v>
      </c>
      <c r="V163">
        <v>74.77</v>
      </c>
    </row>
    <row r="164" spans="1:22" x14ac:dyDescent="0.25">
      <c r="A164" s="8"/>
      <c r="B164" s="9"/>
      <c r="C164" s="18">
        <v>46094</v>
      </c>
      <c r="D164" s="9">
        <v>653.75</v>
      </c>
      <c r="E164" s="9">
        <v>677</v>
      </c>
      <c r="F164" s="9">
        <v>6.89</v>
      </c>
      <c r="G164" s="9">
        <v>491.5</v>
      </c>
      <c r="H164" s="9">
        <v>1170.25</v>
      </c>
      <c r="I164" s="9">
        <v>315.5</v>
      </c>
      <c r="J164" s="9">
        <v>64</v>
      </c>
      <c r="K164" s="9">
        <v>4412</v>
      </c>
      <c r="L164" s="9">
        <v>9508</v>
      </c>
      <c r="M164" s="9">
        <v>3079</v>
      </c>
      <c r="N164" s="9">
        <v>8582</v>
      </c>
      <c r="O164" s="9">
        <v>2409</v>
      </c>
      <c r="P164" s="9">
        <v>9649</v>
      </c>
      <c r="Q164" s="9">
        <v>497.75</v>
      </c>
      <c r="R164" s="9">
        <v>738.6</v>
      </c>
      <c r="S164" s="9">
        <v>1.7949999999999999</v>
      </c>
      <c r="T164" s="9">
        <v>2.7865000000000002</v>
      </c>
      <c r="U164" s="10">
        <v>787.75</v>
      </c>
      <c r="V164">
        <v>76.319999999999993</v>
      </c>
    </row>
    <row r="165" spans="1:22" x14ac:dyDescent="0.25">
      <c r="A165" s="11"/>
      <c r="B165" s="12"/>
      <c r="C165" s="18">
        <v>46093</v>
      </c>
      <c r="D165" s="9">
        <v>639.25</v>
      </c>
      <c r="E165" s="9">
        <v>661.5</v>
      </c>
      <c r="F165" s="9">
        <v>6.7774999999999999</v>
      </c>
      <c r="G165" s="9">
        <v>490</v>
      </c>
      <c r="H165" s="9">
        <v>1176.25</v>
      </c>
      <c r="I165" s="9">
        <v>316.10000000000002</v>
      </c>
      <c r="J165" s="9">
        <v>63.95</v>
      </c>
      <c r="K165" s="9">
        <v>4379</v>
      </c>
      <c r="L165" s="9">
        <v>9472</v>
      </c>
      <c r="M165" s="9">
        <v>3086</v>
      </c>
      <c r="N165" s="9">
        <v>8532</v>
      </c>
      <c r="O165" s="9">
        <v>2406</v>
      </c>
      <c r="P165" s="9">
        <v>9648</v>
      </c>
      <c r="Q165" s="9">
        <v>497.5</v>
      </c>
      <c r="R165" s="9">
        <v>736.4</v>
      </c>
      <c r="S165" s="9">
        <v>1.7749999999999999</v>
      </c>
      <c r="T165" s="9">
        <v>2.7730000000000001</v>
      </c>
      <c r="U165" s="10">
        <v>778.25</v>
      </c>
      <c r="V165">
        <v>75.17</v>
      </c>
    </row>
    <row r="166" spans="1:22" x14ac:dyDescent="0.25">
      <c r="A166" s="8"/>
      <c r="B166" s="9"/>
      <c r="C166" s="18">
        <v>46092</v>
      </c>
      <c r="D166" s="9">
        <v>636.5</v>
      </c>
      <c r="E166" s="9">
        <v>661.75</v>
      </c>
      <c r="F166" s="9">
        <v>6.79</v>
      </c>
      <c r="G166" s="9">
        <v>489</v>
      </c>
      <c r="H166" s="9">
        <v>1172</v>
      </c>
      <c r="I166" s="9">
        <v>314.2</v>
      </c>
      <c r="J166" s="9">
        <v>63.8</v>
      </c>
      <c r="K166" s="9">
        <v>4332</v>
      </c>
      <c r="L166" s="9">
        <v>9338</v>
      </c>
      <c r="M166" s="9">
        <v>3078</v>
      </c>
      <c r="N166" s="9">
        <v>8416</v>
      </c>
      <c r="O166" s="9">
        <v>2393</v>
      </c>
      <c r="P166" s="9">
        <v>9587</v>
      </c>
      <c r="Q166" s="9">
        <v>495</v>
      </c>
      <c r="R166" s="9">
        <v>732.6</v>
      </c>
      <c r="S166" s="9">
        <v>1.7775000000000001</v>
      </c>
      <c r="T166" s="9">
        <v>2.6951999999999998</v>
      </c>
      <c r="U166" s="10">
        <v>753.75</v>
      </c>
      <c r="V166">
        <v>72.31</v>
      </c>
    </row>
    <row r="167" spans="1:22" x14ac:dyDescent="0.25">
      <c r="A167" s="11"/>
      <c r="B167" s="12"/>
      <c r="C167" s="18">
        <v>46091</v>
      </c>
      <c r="D167" s="9">
        <v>634</v>
      </c>
      <c r="E167" s="9">
        <v>658</v>
      </c>
      <c r="F167" s="9">
        <v>6.7575000000000003</v>
      </c>
      <c r="G167" s="9">
        <v>479.75</v>
      </c>
      <c r="H167" s="9">
        <v>1162.75</v>
      </c>
      <c r="I167" s="9">
        <v>314.2</v>
      </c>
      <c r="J167" s="9">
        <v>62.27</v>
      </c>
      <c r="K167" s="9">
        <v>4295</v>
      </c>
      <c r="L167" s="9">
        <v>9346</v>
      </c>
      <c r="M167" s="9">
        <v>3069</v>
      </c>
      <c r="N167" s="9">
        <v>8444</v>
      </c>
      <c r="O167" s="9">
        <v>2385</v>
      </c>
      <c r="P167" s="9">
        <v>9628</v>
      </c>
      <c r="Q167" s="9">
        <v>484.5</v>
      </c>
      <c r="R167" s="9">
        <v>720.5</v>
      </c>
      <c r="S167" s="9">
        <v>1.7224999999999999</v>
      </c>
      <c r="T167" s="9">
        <v>2.5880999999999998</v>
      </c>
      <c r="U167" s="10">
        <v>744.5</v>
      </c>
      <c r="V167">
        <v>69.37</v>
      </c>
    </row>
    <row r="168" spans="1:22" x14ac:dyDescent="0.25">
      <c r="A168" s="8"/>
      <c r="B168" s="9"/>
      <c r="C168" s="18">
        <v>46090</v>
      </c>
      <c r="D168" s="9">
        <v>641.25</v>
      </c>
      <c r="E168" s="9">
        <v>666</v>
      </c>
      <c r="F168" s="9">
        <v>6.8425000000000002</v>
      </c>
      <c r="G168" s="9">
        <v>481.75</v>
      </c>
      <c r="H168" s="9">
        <v>1157.5</v>
      </c>
      <c r="I168" s="9">
        <v>313.2</v>
      </c>
      <c r="J168" s="9">
        <v>62.55</v>
      </c>
      <c r="K168" s="9">
        <v>4386</v>
      </c>
      <c r="L168" s="9">
        <v>9582</v>
      </c>
      <c r="M168" s="9">
        <v>3133</v>
      </c>
      <c r="N168" s="9">
        <v>8590</v>
      </c>
      <c r="O168" s="9">
        <v>2431</v>
      </c>
      <c r="P168" s="9">
        <v>9814</v>
      </c>
      <c r="Q168" s="9">
        <v>497.5</v>
      </c>
      <c r="R168" s="9">
        <v>724.6</v>
      </c>
      <c r="S168" s="9">
        <v>1.77</v>
      </c>
      <c r="T168" s="9">
        <v>2.6501999999999999</v>
      </c>
      <c r="U168" s="10">
        <v>748.25</v>
      </c>
      <c r="V168">
        <v>71.17</v>
      </c>
    </row>
    <row r="169" spans="1:22" x14ac:dyDescent="0.25">
      <c r="A169" s="11"/>
      <c r="B169" s="12"/>
      <c r="C169" s="18">
        <v>46087</v>
      </c>
      <c r="D169" s="9">
        <v>652</v>
      </c>
      <c r="E169" s="9">
        <v>668</v>
      </c>
      <c r="F169" s="9">
        <v>6.8075000000000001</v>
      </c>
      <c r="G169" s="9">
        <v>484.5</v>
      </c>
      <c r="H169" s="9">
        <v>1155.25</v>
      </c>
      <c r="I169" s="9">
        <v>314.39999999999998</v>
      </c>
      <c r="J169" s="9">
        <v>62.77</v>
      </c>
      <c r="K169" s="9">
        <v>4300</v>
      </c>
      <c r="L169" s="9">
        <v>9074</v>
      </c>
      <c r="M169" s="9">
        <v>3048</v>
      </c>
      <c r="N169" s="9">
        <v>8344</v>
      </c>
      <c r="O169" s="9">
        <v>2348</v>
      </c>
      <c r="P169" s="9">
        <v>9495</v>
      </c>
      <c r="Q169" s="9">
        <v>491.75</v>
      </c>
      <c r="R169" s="9">
        <v>731.7</v>
      </c>
      <c r="S169" s="9">
        <v>1.7975000000000001</v>
      </c>
      <c r="T169" s="9">
        <v>2.5769000000000002</v>
      </c>
      <c r="U169" s="10">
        <v>730</v>
      </c>
      <c r="V169">
        <v>69.239999999999995</v>
      </c>
    </row>
    <row r="170" spans="1:22" x14ac:dyDescent="0.25">
      <c r="A170" s="8"/>
      <c r="B170" s="9"/>
      <c r="C170" s="18">
        <v>46086</v>
      </c>
      <c r="D170" s="9">
        <v>621.75</v>
      </c>
      <c r="E170" s="9">
        <v>639.5</v>
      </c>
      <c r="F170" s="9">
        <v>6.625</v>
      </c>
      <c r="G170" s="9">
        <v>478</v>
      </c>
      <c r="H170" s="9">
        <v>1146.75</v>
      </c>
      <c r="I170" s="9">
        <v>310</v>
      </c>
      <c r="J170" s="9">
        <v>62.23</v>
      </c>
      <c r="K170" s="9">
        <v>4194</v>
      </c>
      <c r="L170" s="9">
        <v>8994</v>
      </c>
      <c r="M170" s="9">
        <v>3009</v>
      </c>
      <c r="N170" s="9">
        <v>8310</v>
      </c>
      <c r="O170" s="9">
        <v>2318</v>
      </c>
      <c r="P170" s="9">
        <v>9387</v>
      </c>
      <c r="Q170" s="9">
        <v>485.75</v>
      </c>
      <c r="R170" s="9">
        <v>725.2</v>
      </c>
      <c r="S170" s="9">
        <v>1.77</v>
      </c>
      <c r="T170" s="9">
        <v>2.5320999999999998</v>
      </c>
      <c r="U170" s="10">
        <v>723.25</v>
      </c>
      <c r="V170">
        <v>67.31</v>
      </c>
    </row>
    <row r="171" spans="1:22" x14ac:dyDescent="0.25">
      <c r="A171" s="11"/>
      <c r="B171" s="12"/>
      <c r="C171" s="18">
        <v>46085</v>
      </c>
      <c r="D171" s="9">
        <v>607.25</v>
      </c>
      <c r="E171" s="9">
        <v>620.75</v>
      </c>
      <c r="F171" s="9">
        <v>6.56</v>
      </c>
      <c r="G171" s="9">
        <v>470.25</v>
      </c>
      <c r="H171" s="9">
        <v>1141</v>
      </c>
      <c r="I171" s="9">
        <v>311.7</v>
      </c>
      <c r="J171" s="9">
        <v>60.73</v>
      </c>
      <c r="K171" s="9">
        <v>4174</v>
      </c>
      <c r="L171" s="9">
        <v>8980</v>
      </c>
      <c r="M171" s="9">
        <v>3007</v>
      </c>
      <c r="N171" s="9">
        <v>8330</v>
      </c>
      <c r="O171" s="9">
        <v>2321</v>
      </c>
      <c r="P171" s="9">
        <v>9376</v>
      </c>
      <c r="Q171" s="9">
        <v>479.25</v>
      </c>
      <c r="R171" s="9">
        <v>717.4</v>
      </c>
      <c r="S171" s="9">
        <v>1.7350000000000001</v>
      </c>
      <c r="T171" s="9">
        <v>2.4937</v>
      </c>
      <c r="U171" s="10">
        <v>713.75</v>
      </c>
      <c r="V171">
        <v>65.7</v>
      </c>
    </row>
    <row r="172" spans="1:22" x14ac:dyDescent="0.25">
      <c r="A172" s="8"/>
      <c r="B172" s="9"/>
      <c r="C172" s="18">
        <v>46084</v>
      </c>
      <c r="D172" s="9">
        <v>614.25</v>
      </c>
      <c r="E172" s="9">
        <v>627.25</v>
      </c>
      <c r="F172" s="9">
        <v>6.5824999999999996</v>
      </c>
      <c r="G172" s="9">
        <v>471.25</v>
      </c>
      <c r="H172" s="9">
        <v>1141.75</v>
      </c>
      <c r="I172" s="9">
        <v>314.89999999999998</v>
      </c>
      <c r="J172" s="9">
        <v>60.46</v>
      </c>
      <c r="K172" s="9">
        <v>4179</v>
      </c>
      <c r="L172" s="9">
        <v>8958</v>
      </c>
      <c r="M172" s="9">
        <v>3019</v>
      </c>
      <c r="N172" s="9">
        <v>8290</v>
      </c>
      <c r="O172" s="9">
        <v>2329</v>
      </c>
      <c r="P172" s="9">
        <v>9347</v>
      </c>
      <c r="Q172" s="9">
        <v>482.5</v>
      </c>
      <c r="R172" s="9">
        <v>713.9</v>
      </c>
      <c r="S172" s="9">
        <v>1.74</v>
      </c>
      <c r="T172" s="9">
        <v>2.5125000000000002</v>
      </c>
      <c r="U172" s="10">
        <v>725</v>
      </c>
      <c r="V172">
        <v>65.290000000000006</v>
      </c>
    </row>
    <row r="173" spans="1:22" x14ac:dyDescent="0.25">
      <c r="A173" s="11"/>
      <c r="B173" s="12"/>
      <c r="C173" s="18">
        <v>46083</v>
      </c>
      <c r="D173" s="9">
        <v>615.25</v>
      </c>
      <c r="E173" s="9">
        <v>623.5</v>
      </c>
      <c r="F173" s="9">
        <v>6.5449999999999999</v>
      </c>
      <c r="G173" s="9">
        <v>470</v>
      </c>
      <c r="H173" s="9">
        <v>1139.25</v>
      </c>
      <c r="I173" s="9">
        <v>315.2</v>
      </c>
      <c r="J173" s="9">
        <v>60.52</v>
      </c>
      <c r="K173" s="9">
        <v>4147</v>
      </c>
      <c r="L173" s="9">
        <v>8864</v>
      </c>
      <c r="M173" s="9">
        <v>3003</v>
      </c>
      <c r="N173" s="9">
        <v>8196</v>
      </c>
      <c r="O173" s="9">
        <v>2307</v>
      </c>
      <c r="P173" s="9">
        <v>9227</v>
      </c>
      <c r="Q173" s="9">
        <v>478.75</v>
      </c>
      <c r="R173" s="9">
        <v>708.5</v>
      </c>
      <c r="S173" s="9">
        <v>1.7375</v>
      </c>
      <c r="T173" s="9">
        <v>2.4706000000000001</v>
      </c>
      <c r="U173" s="10">
        <v>709</v>
      </c>
      <c r="V173">
        <v>64.78</v>
      </c>
    </row>
    <row r="174" spans="1:22" x14ac:dyDescent="0.25">
      <c r="A174" s="8"/>
      <c r="B174" s="9"/>
      <c r="C174" s="18">
        <v>46080</v>
      </c>
      <c r="D174" s="9">
        <v>626.75</v>
      </c>
      <c r="E174" s="9">
        <v>629</v>
      </c>
      <c r="F174" s="9">
        <v>6.5824999999999996</v>
      </c>
      <c r="G174" s="9">
        <v>469.5</v>
      </c>
      <c r="H174" s="9">
        <v>1138.75</v>
      </c>
      <c r="I174" s="9">
        <v>317.89999999999998</v>
      </c>
      <c r="J174" s="9">
        <v>59.73</v>
      </c>
      <c r="K174" s="9">
        <v>4038</v>
      </c>
      <c r="L174" s="9">
        <v>8764</v>
      </c>
      <c r="M174" s="9">
        <v>3003</v>
      </c>
      <c r="N174" s="9">
        <v>8170</v>
      </c>
      <c r="O174" s="9">
        <v>2293</v>
      </c>
      <c r="P174" s="9">
        <v>9144</v>
      </c>
      <c r="Q174" s="9">
        <v>474</v>
      </c>
      <c r="R174" s="9">
        <v>698.9</v>
      </c>
      <c r="S174" s="9">
        <v>1.7350000000000001</v>
      </c>
      <c r="T174" s="9">
        <v>2.4039000000000001</v>
      </c>
      <c r="U174" s="10">
        <v>674.25</v>
      </c>
      <c r="V174">
        <v>63.73</v>
      </c>
    </row>
    <row r="175" spans="1:22" x14ac:dyDescent="0.25">
      <c r="A175" s="11"/>
      <c r="B175" s="12"/>
      <c r="C175" s="18">
        <v>46079</v>
      </c>
      <c r="D175" s="9">
        <v>610.75</v>
      </c>
      <c r="E175" s="9">
        <v>612.5</v>
      </c>
      <c r="F175" s="9">
        <v>6.48</v>
      </c>
      <c r="G175" s="9">
        <v>467</v>
      </c>
      <c r="H175" s="9">
        <v>1138.25</v>
      </c>
      <c r="I175" s="9">
        <v>318.7</v>
      </c>
      <c r="J175" s="9">
        <v>59.56</v>
      </c>
      <c r="K175" s="9">
        <v>4001</v>
      </c>
      <c r="L175" s="9">
        <v>8778</v>
      </c>
      <c r="M175" s="9">
        <v>3001</v>
      </c>
      <c r="N175" s="9">
        <v>8136</v>
      </c>
      <c r="O175" s="9">
        <v>2298</v>
      </c>
      <c r="P175" s="9">
        <v>9136</v>
      </c>
      <c r="Q175" s="9">
        <v>473.75</v>
      </c>
      <c r="R175" s="9">
        <v>705.1</v>
      </c>
      <c r="S175" s="9">
        <v>1.7375</v>
      </c>
      <c r="T175" s="9">
        <v>2.3681999999999999</v>
      </c>
      <c r="U175" s="10">
        <v>673</v>
      </c>
      <c r="V175">
        <v>62.58</v>
      </c>
    </row>
    <row r="176" spans="1:22" x14ac:dyDescent="0.25">
      <c r="A176" s="8"/>
      <c r="B176" s="9"/>
      <c r="C176" s="18">
        <v>46078</v>
      </c>
      <c r="D176" s="9">
        <v>606.5</v>
      </c>
      <c r="E176" s="9">
        <v>613.25</v>
      </c>
      <c r="F176" s="9">
        <v>6.4474999999999998</v>
      </c>
      <c r="G176" s="9">
        <v>467</v>
      </c>
      <c r="H176" s="9">
        <v>1138.5</v>
      </c>
      <c r="I176" s="9">
        <v>320.60000000000002</v>
      </c>
      <c r="J176" s="9">
        <v>58.86</v>
      </c>
      <c r="K176" s="9">
        <v>4038</v>
      </c>
      <c r="L176" s="9">
        <v>8830</v>
      </c>
      <c r="M176" s="9">
        <v>2989</v>
      </c>
      <c r="N176" s="9">
        <v>8112</v>
      </c>
      <c r="O176" s="9">
        <v>2288</v>
      </c>
      <c r="P176" s="9">
        <v>9140</v>
      </c>
      <c r="Q176" s="9">
        <v>470.75</v>
      </c>
      <c r="R176" s="9">
        <v>703.5</v>
      </c>
      <c r="S176" s="9">
        <v>1.74</v>
      </c>
      <c r="T176" s="9">
        <v>2.3645999999999998</v>
      </c>
      <c r="U176" s="10">
        <v>661</v>
      </c>
      <c r="V176">
        <v>63.05</v>
      </c>
    </row>
    <row r="177" spans="1:22" x14ac:dyDescent="0.25">
      <c r="A177" s="11"/>
      <c r="B177" s="12"/>
      <c r="C177" s="18">
        <v>46077</v>
      </c>
      <c r="D177" s="9">
        <v>611.5</v>
      </c>
      <c r="E177" s="9">
        <v>617</v>
      </c>
      <c r="F177" s="9">
        <v>6.4325000000000001</v>
      </c>
      <c r="G177" s="9">
        <v>463.75</v>
      </c>
      <c r="H177" s="9">
        <v>1131.75</v>
      </c>
      <c r="I177" s="9">
        <v>316.2</v>
      </c>
      <c r="J177" s="9">
        <v>58.97</v>
      </c>
      <c r="K177" s="9">
        <v>4048</v>
      </c>
      <c r="L177" s="9">
        <v>8828</v>
      </c>
      <c r="M177" s="9">
        <v>2961</v>
      </c>
      <c r="N177" s="9">
        <v>8056</v>
      </c>
      <c r="O177" s="9">
        <v>2268</v>
      </c>
      <c r="P177" s="9">
        <v>9103</v>
      </c>
      <c r="Q177" s="9">
        <v>475</v>
      </c>
      <c r="R177" s="9">
        <v>702.2</v>
      </c>
      <c r="S177" s="9">
        <v>1.7275</v>
      </c>
      <c r="T177" s="9">
        <v>2.3572000000000002</v>
      </c>
      <c r="U177" s="10">
        <v>663</v>
      </c>
      <c r="V177">
        <v>63.13</v>
      </c>
    </row>
    <row r="178" spans="1:22" x14ac:dyDescent="0.25">
      <c r="A178" s="8"/>
      <c r="B178" s="9"/>
      <c r="C178" s="18">
        <v>46076</v>
      </c>
      <c r="D178" s="9">
        <v>610.75</v>
      </c>
      <c r="E178" s="9">
        <v>620</v>
      </c>
      <c r="F178" s="9">
        <v>6.4474999999999998</v>
      </c>
      <c r="G178" s="9">
        <v>464.5</v>
      </c>
      <c r="H178" s="9">
        <v>1127.5</v>
      </c>
      <c r="I178" s="9">
        <v>314.89999999999998</v>
      </c>
      <c r="J178" s="9">
        <v>58.47</v>
      </c>
      <c r="K178" s="9">
        <v>4075</v>
      </c>
      <c r="L178" s="9"/>
      <c r="M178" s="9"/>
      <c r="N178" s="9"/>
      <c r="O178" s="9"/>
      <c r="P178" s="9"/>
      <c r="Q178" s="9">
        <v>473.75</v>
      </c>
      <c r="R178" s="9">
        <v>699</v>
      </c>
      <c r="S178" s="9">
        <v>1.7275</v>
      </c>
      <c r="T178" s="9">
        <v>2.3553000000000002</v>
      </c>
      <c r="U178" s="10">
        <v>670</v>
      </c>
      <c r="V178">
        <v>63.23</v>
      </c>
    </row>
    <row r="179" spans="1:22" x14ac:dyDescent="0.25">
      <c r="A179" s="11"/>
      <c r="B179" s="12"/>
      <c r="C179" s="18">
        <v>46073</v>
      </c>
      <c r="D179" s="9">
        <v>615</v>
      </c>
      <c r="E179" s="9">
        <v>630</v>
      </c>
      <c r="F179" s="9">
        <v>6.48</v>
      </c>
      <c r="G179" s="9">
        <v>464.5</v>
      </c>
      <c r="H179" s="9">
        <v>1125.5</v>
      </c>
      <c r="I179" s="9">
        <v>316.10000000000002</v>
      </c>
      <c r="J179" s="9">
        <v>57.84</v>
      </c>
      <c r="K179" s="9">
        <v>4108</v>
      </c>
      <c r="L179" s="9"/>
      <c r="M179" s="9"/>
      <c r="N179" s="9"/>
      <c r="O179" s="9"/>
      <c r="P179" s="9"/>
      <c r="Q179" s="9">
        <v>471.5</v>
      </c>
      <c r="R179" s="9">
        <v>693.9</v>
      </c>
      <c r="S179" s="9">
        <v>1.7124999999999999</v>
      </c>
      <c r="T179" s="9">
        <v>2.3378000000000001</v>
      </c>
      <c r="U179" s="10">
        <v>663</v>
      </c>
      <c r="V179">
        <v>63.08</v>
      </c>
    </row>
    <row r="180" spans="1:22" x14ac:dyDescent="0.25">
      <c r="A180" s="8"/>
      <c r="B180" s="9"/>
      <c r="C180" s="18">
        <v>46072</v>
      </c>
      <c r="D180" s="9">
        <v>603</v>
      </c>
      <c r="E180" s="9">
        <v>622.5</v>
      </c>
      <c r="F180" s="9">
        <v>6.4249999999999998</v>
      </c>
      <c r="G180" s="9">
        <v>461.5</v>
      </c>
      <c r="H180" s="9">
        <v>1128.5</v>
      </c>
      <c r="I180" s="9">
        <v>313.2</v>
      </c>
      <c r="J180" s="9">
        <v>58.49</v>
      </c>
      <c r="K180" s="9">
        <v>4096</v>
      </c>
      <c r="L180" s="9"/>
      <c r="M180" s="9"/>
      <c r="N180" s="9"/>
      <c r="O180" s="9"/>
      <c r="P180" s="9"/>
      <c r="Q180" s="9">
        <v>475.75</v>
      </c>
      <c r="R180" s="9">
        <v>694.5</v>
      </c>
      <c r="S180" s="9">
        <v>1.7150000000000001</v>
      </c>
      <c r="T180" s="9">
        <v>2.3420999999999998</v>
      </c>
      <c r="U180" s="10">
        <v>659.5</v>
      </c>
      <c r="V180">
        <v>63.01</v>
      </c>
    </row>
    <row r="181" spans="1:22" x14ac:dyDescent="0.25">
      <c r="A181" s="11"/>
      <c r="B181" s="12"/>
      <c r="C181" s="18">
        <v>46071</v>
      </c>
      <c r="D181" s="9">
        <v>589</v>
      </c>
      <c r="E181" s="9">
        <v>609</v>
      </c>
      <c r="F181" s="9">
        <v>6.3425000000000002</v>
      </c>
      <c r="G181" s="9">
        <v>461</v>
      </c>
      <c r="H181" s="9">
        <v>1126.5</v>
      </c>
      <c r="I181" s="9">
        <v>314.2</v>
      </c>
      <c r="J181" s="9">
        <v>57.7</v>
      </c>
      <c r="K181" s="9"/>
      <c r="L181" s="9"/>
      <c r="M181" s="9"/>
      <c r="N181" s="9"/>
      <c r="O181" s="9"/>
      <c r="P181" s="9"/>
      <c r="Q181" s="9">
        <v>470.5</v>
      </c>
      <c r="R181" s="9">
        <v>693.5</v>
      </c>
      <c r="S181" s="9">
        <v>1.6875</v>
      </c>
      <c r="T181" s="9">
        <v>2.3043999999999998</v>
      </c>
      <c r="U181" s="10">
        <v>646</v>
      </c>
      <c r="V181">
        <v>62.22</v>
      </c>
    </row>
    <row r="182" spans="1:22" x14ac:dyDescent="0.25">
      <c r="A182" s="8"/>
      <c r="B182" s="9"/>
      <c r="C182" s="18">
        <v>46070</v>
      </c>
      <c r="D182" s="9">
        <v>581.5</v>
      </c>
      <c r="E182" s="9">
        <v>600</v>
      </c>
      <c r="F182" s="9">
        <v>6.29</v>
      </c>
      <c r="G182" s="9">
        <v>460</v>
      </c>
      <c r="H182" s="9">
        <v>1127.25</v>
      </c>
      <c r="I182" s="9">
        <v>318.2</v>
      </c>
      <c r="J182" s="9">
        <v>56.51</v>
      </c>
      <c r="K182" s="9"/>
      <c r="L182" s="9"/>
      <c r="M182" s="9"/>
      <c r="N182" s="9"/>
      <c r="O182" s="9"/>
      <c r="P182" s="9"/>
      <c r="Q182" s="9">
        <v>468.5</v>
      </c>
      <c r="R182" s="9">
        <v>686.5</v>
      </c>
      <c r="S182" s="9">
        <v>1.6775</v>
      </c>
      <c r="T182" s="9">
        <v>2.2315</v>
      </c>
      <c r="U182" s="10">
        <v>629.25</v>
      </c>
      <c r="V182">
        <v>60.47</v>
      </c>
    </row>
    <row r="183" spans="1:22" x14ac:dyDescent="0.25">
      <c r="A183" s="11"/>
      <c r="B183" s="12"/>
      <c r="C183" s="18">
        <v>46069</v>
      </c>
      <c r="D183" s="9"/>
      <c r="E183" s="9"/>
      <c r="F183" s="9"/>
      <c r="G183" s="9"/>
      <c r="H183" s="9"/>
      <c r="I183" s="9"/>
      <c r="J183" s="9"/>
      <c r="K183" s="9">
        <v>3993</v>
      </c>
      <c r="L183" s="9"/>
      <c r="M183" s="9"/>
      <c r="N183" s="9"/>
      <c r="O183" s="9"/>
      <c r="P183" s="9"/>
      <c r="Q183" s="9">
        <v>470.25</v>
      </c>
      <c r="R183" s="9"/>
      <c r="S183" s="9"/>
      <c r="T183" s="9"/>
      <c r="U183" s="10">
        <v>635.75</v>
      </c>
    </row>
    <row r="184" spans="1:22" x14ac:dyDescent="0.25">
      <c r="A184" s="8"/>
      <c r="B184" s="9"/>
      <c r="C184" s="18">
        <v>46066</v>
      </c>
      <c r="D184" s="9">
        <v>586.25</v>
      </c>
      <c r="E184" s="9">
        <v>603</v>
      </c>
      <c r="F184" s="9">
        <v>6.3324999999999996</v>
      </c>
      <c r="G184" s="9">
        <v>464.5</v>
      </c>
      <c r="H184" s="9">
        <v>1123.25</v>
      </c>
      <c r="I184" s="9">
        <v>318</v>
      </c>
      <c r="J184" s="9">
        <v>56.08</v>
      </c>
      <c r="K184" s="9">
        <v>4014</v>
      </c>
      <c r="L184" s="9">
        <v>8700</v>
      </c>
      <c r="M184" s="9">
        <v>2963</v>
      </c>
      <c r="N184" s="9">
        <v>7994</v>
      </c>
      <c r="O184" s="9">
        <v>2266</v>
      </c>
      <c r="P184" s="9">
        <v>8981</v>
      </c>
      <c r="Q184" s="9">
        <v>466.25</v>
      </c>
      <c r="R184" s="9">
        <v>686.3</v>
      </c>
      <c r="S184" s="9">
        <v>1.6975</v>
      </c>
      <c r="T184" s="9">
        <v>2.2262</v>
      </c>
      <c r="U184" s="10">
        <v>630.75</v>
      </c>
      <c r="V184">
        <v>60.71</v>
      </c>
    </row>
    <row r="185" spans="1:22" x14ac:dyDescent="0.25">
      <c r="A185" s="11"/>
      <c r="B185" s="12"/>
      <c r="C185" s="18">
        <v>46065</v>
      </c>
      <c r="D185" s="9">
        <v>595.75</v>
      </c>
      <c r="E185" s="9">
        <v>613.75</v>
      </c>
      <c r="F185" s="9">
        <v>6.39</v>
      </c>
      <c r="G185" s="9">
        <v>464</v>
      </c>
      <c r="H185" s="9">
        <v>1125.75</v>
      </c>
      <c r="I185" s="9">
        <v>316.5</v>
      </c>
      <c r="J185" s="9">
        <v>56.47</v>
      </c>
      <c r="K185" s="9">
        <v>4012</v>
      </c>
      <c r="L185" s="9">
        <v>8788</v>
      </c>
      <c r="M185" s="9">
        <v>2955</v>
      </c>
      <c r="N185" s="9">
        <v>8038</v>
      </c>
      <c r="O185" s="9">
        <v>2258</v>
      </c>
      <c r="P185" s="9">
        <v>9036</v>
      </c>
      <c r="Q185" s="9">
        <v>469.75</v>
      </c>
      <c r="R185" s="9">
        <v>687.2</v>
      </c>
      <c r="S185" s="9">
        <v>1.72</v>
      </c>
      <c r="T185" s="9">
        <v>2.2336999999999998</v>
      </c>
      <c r="U185" s="10">
        <v>634.25</v>
      </c>
      <c r="V185">
        <v>60.75</v>
      </c>
    </row>
    <row r="186" spans="1:22" x14ac:dyDescent="0.25">
      <c r="A186" s="8"/>
      <c r="B186" s="9"/>
      <c r="C186" s="18">
        <v>46064</v>
      </c>
      <c r="D186" s="9">
        <v>584.5</v>
      </c>
      <c r="E186" s="9">
        <v>599.5</v>
      </c>
      <c r="F186" s="9">
        <v>6.3125</v>
      </c>
      <c r="G186" s="9">
        <v>459.75</v>
      </c>
      <c r="H186" s="9">
        <v>1120.5</v>
      </c>
      <c r="I186" s="9">
        <v>314.8</v>
      </c>
      <c r="J186" s="9">
        <v>56.26</v>
      </c>
      <c r="K186" s="9">
        <v>4036</v>
      </c>
      <c r="L186" s="9">
        <v>8836</v>
      </c>
      <c r="M186" s="9">
        <v>2943</v>
      </c>
      <c r="N186" s="9">
        <v>8048</v>
      </c>
      <c r="O186" s="9">
        <v>2245</v>
      </c>
      <c r="P186" s="9">
        <v>9034</v>
      </c>
      <c r="Q186" s="9">
        <v>468.5</v>
      </c>
      <c r="R186" s="9">
        <v>682.3</v>
      </c>
      <c r="S186" s="9">
        <v>1.7124999999999999</v>
      </c>
      <c r="T186" s="9">
        <v>2.2816999999999998</v>
      </c>
      <c r="U186" s="10">
        <v>648.25</v>
      </c>
      <c r="V186">
        <v>62.27</v>
      </c>
    </row>
    <row r="187" spans="1:22" x14ac:dyDescent="0.25">
      <c r="A187" s="11"/>
      <c r="B187" s="12"/>
      <c r="C187" s="18">
        <v>46063</v>
      </c>
      <c r="D187" s="9">
        <v>579.5</v>
      </c>
      <c r="E187" s="9">
        <v>593.5</v>
      </c>
      <c r="F187" s="9">
        <v>6.2750000000000004</v>
      </c>
      <c r="G187" s="9">
        <v>458.25</v>
      </c>
      <c r="H187" s="9">
        <v>1116.25</v>
      </c>
      <c r="I187" s="9">
        <v>313.60000000000002</v>
      </c>
      <c r="J187" s="9">
        <v>56.42</v>
      </c>
      <c r="K187" s="9">
        <v>4040</v>
      </c>
      <c r="L187" s="9">
        <v>8878</v>
      </c>
      <c r="M187" s="9">
        <v>2929</v>
      </c>
      <c r="N187" s="9">
        <v>8056</v>
      </c>
      <c r="O187" s="9">
        <v>2229</v>
      </c>
      <c r="P187" s="9">
        <v>9054</v>
      </c>
      <c r="Q187" s="9">
        <v>469.25</v>
      </c>
      <c r="R187" s="9">
        <v>682.6</v>
      </c>
      <c r="S187" s="9">
        <v>1.6924999999999999</v>
      </c>
      <c r="T187" s="9">
        <v>2.2643</v>
      </c>
      <c r="U187" s="10">
        <v>639.75</v>
      </c>
      <c r="V187">
        <v>61.89</v>
      </c>
    </row>
    <row r="188" spans="1:22" x14ac:dyDescent="0.25">
      <c r="A188" s="8"/>
      <c r="B188" s="9"/>
      <c r="C188" s="18">
        <v>46062</v>
      </c>
      <c r="D188" s="9">
        <v>580</v>
      </c>
      <c r="E188" s="9">
        <v>591.75</v>
      </c>
      <c r="F188" s="9">
        <v>6.2925000000000004</v>
      </c>
      <c r="G188" s="9">
        <v>457.25</v>
      </c>
      <c r="H188" s="9">
        <v>1105.5</v>
      </c>
      <c r="I188" s="9">
        <v>311.3</v>
      </c>
      <c r="J188" s="9">
        <v>55.87</v>
      </c>
      <c r="K188" s="9">
        <v>4105</v>
      </c>
      <c r="L188" s="9">
        <v>8892</v>
      </c>
      <c r="M188" s="9">
        <v>2937</v>
      </c>
      <c r="N188" s="9">
        <v>8078</v>
      </c>
      <c r="O188" s="9">
        <v>2237</v>
      </c>
      <c r="P188" s="9">
        <v>9067</v>
      </c>
      <c r="Q188" s="9">
        <v>471.25</v>
      </c>
      <c r="R188" s="9">
        <v>681.1</v>
      </c>
      <c r="S188" s="9">
        <v>1.6875</v>
      </c>
      <c r="T188" s="9">
        <v>2.2698999999999998</v>
      </c>
      <c r="U188" s="10">
        <v>642</v>
      </c>
      <c r="V188">
        <v>62.11</v>
      </c>
    </row>
    <row r="189" spans="1:22" x14ac:dyDescent="0.25">
      <c r="A189" s="11"/>
      <c r="B189" s="12"/>
      <c r="C189" s="18">
        <v>46059</v>
      </c>
      <c r="D189" s="9">
        <v>580</v>
      </c>
      <c r="E189" s="9">
        <v>593.5</v>
      </c>
      <c r="F189" s="9">
        <v>6.3174999999999999</v>
      </c>
      <c r="G189" s="9">
        <v>457.75</v>
      </c>
      <c r="H189" s="9">
        <v>1103.5</v>
      </c>
      <c r="I189" s="9">
        <v>313.10000000000002</v>
      </c>
      <c r="J189" s="9">
        <v>54.74</v>
      </c>
      <c r="K189" s="9">
        <v>4102</v>
      </c>
      <c r="L189" s="9">
        <v>8926</v>
      </c>
      <c r="M189" s="9">
        <v>2930</v>
      </c>
      <c r="N189" s="9">
        <v>8028</v>
      </c>
      <c r="O189" s="9">
        <v>2235</v>
      </c>
      <c r="P189" s="9">
        <v>9062</v>
      </c>
      <c r="Q189" s="9">
        <v>471.75</v>
      </c>
      <c r="R189" s="9">
        <v>676</v>
      </c>
      <c r="S189" s="9">
        <v>1.6775</v>
      </c>
      <c r="T189" s="9">
        <v>2.2439</v>
      </c>
      <c r="U189" s="10">
        <v>639.25</v>
      </c>
      <c r="V189">
        <v>61.31</v>
      </c>
    </row>
    <row r="190" spans="1:22" x14ac:dyDescent="0.25">
      <c r="A190" s="8"/>
      <c r="B190" s="9"/>
      <c r="C190" s="18">
        <v>46058</v>
      </c>
      <c r="D190" s="9">
        <v>585.75</v>
      </c>
      <c r="E190" s="9">
        <v>599.5</v>
      </c>
      <c r="F190" s="9">
        <v>6.33</v>
      </c>
      <c r="G190" s="9">
        <v>461</v>
      </c>
      <c r="H190" s="9">
        <v>1108.25</v>
      </c>
      <c r="I190" s="9">
        <v>314.2</v>
      </c>
      <c r="J190" s="9">
        <v>55.15</v>
      </c>
      <c r="K190" s="9">
        <v>4149</v>
      </c>
      <c r="L190" s="9">
        <v>9010</v>
      </c>
      <c r="M190" s="9">
        <v>2915</v>
      </c>
      <c r="N190" s="9">
        <v>8062</v>
      </c>
      <c r="O190" s="9">
        <v>2228</v>
      </c>
      <c r="P190" s="9">
        <v>9042</v>
      </c>
      <c r="Q190" s="9">
        <v>471.25</v>
      </c>
      <c r="R190" s="9">
        <v>679.7</v>
      </c>
      <c r="S190" s="9">
        <v>1.66</v>
      </c>
      <c r="T190" s="9">
        <v>2.2347999999999999</v>
      </c>
      <c r="U190" s="10">
        <v>632.75</v>
      </c>
      <c r="V190">
        <v>60.82</v>
      </c>
    </row>
    <row r="191" spans="1:22" x14ac:dyDescent="0.25">
      <c r="A191" s="11"/>
      <c r="B191" s="12"/>
      <c r="C191" s="18">
        <v>46057</v>
      </c>
      <c r="D191" s="9">
        <v>579</v>
      </c>
      <c r="E191" s="9">
        <v>593</v>
      </c>
      <c r="F191" s="9">
        <v>6.2850000000000001</v>
      </c>
      <c r="G191" s="9">
        <v>457.25</v>
      </c>
      <c r="H191" s="9">
        <v>1098.5</v>
      </c>
      <c r="I191" s="9">
        <v>308.8</v>
      </c>
      <c r="J191" s="9">
        <v>55.17</v>
      </c>
      <c r="K191" s="9">
        <v>4147</v>
      </c>
      <c r="L191" s="9">
        <v>9024</v>
      </c>
      <c r="M191" s="9">
        <v>2893</v>
      </c>
      <c r="N191" s="9">
        <v>8046</v>
      </c>
      <c r="O191" s="9">
        <v>2229</v>
      </c>
      <c r="P191" s="9">
        <v>9114</v>
      </c>
      <c r="Q191" s="9">
        <v>467.75</v>
      </c>
      <c r="R191" s="9">
        <v>676.5</v>
      </c>
      <c r="S191" s="9">
        <v>1.655</v>
      </c>
      <c r="T191" s="9">
        <v>2.2684000000000002</v>
      </c>
      <c r="U191" s="10">
        <v>633</v>
      </c>
      <c r="V191">
        <v>61.98</v>
      </c>
    </row>
    <row r="192" spans="1:22" x14ac:dyDescent="0.25">
      <c r="A192" s="8"/>
      <c r="B192" s="9"/>
      <c r="C192" s="18">
        <v>46056</v>
      </c>
      <c r="D192" s="9">
        <v>580.25</v>
      </c>
      <c r="E192" s="9">
        <v>596</v>
      </c>
      <c r="F192" s="9">
        <v>6.3</v>
      </c>
      <c r="G192" s="9">
        <v>456.75</v>
      </c>
      <c r="H192" s="9">
        <v>1090.75</v>
      </c>
      <c r="I192" s="9">
        <v>308.3</v>
      </c>
      <c r="J192" s="9">
        <v>54.33</v>
      </c>
      <c r="K192" s="9">
        <v>4119</v>
      </c>
      <c r="L192" s="9">
        <v>8952</v>
      </c>
      <c r="M192" s="9">
        <v>2896</v>
      </c>
      <c r="N192" s="9">
        <v>8006</v>
      </c>
      <c r="O192" s="9">
        <v>2234</v>
      </c>
      <c r="P192" s="9">
        <v>9023</v>
      </c>
      <c r="Q192" s="9">
        <v>464.5</v>
      </c>
      <c r="R192" s="9">
        <v>669.4</v>
      </c>
      <c r="S192" s="9">
        <v>1.665</v>
      </c>
      <c r="T192" s="9">
        <v>2.2235</v>
      </c>
      <c r="U192" s="10">
        <v>629.25</v>
      </c>
      <c r="V192">
        <v>60.54</v>
      </c>
    </row>
    <row r="193" spans="1:22" x14ac:dyDescent="0.25">
      <c r="A193" s="11"/>
      <c r="B193" s="12"/>
      <c r="C193" s="18">
        <v>46055</v>
      </c>
      <c r="D193" s="9">
        <v>578.75</v>
      </c>
      <c r="E193" s="9">
        <v>594.5</v>
      </c>
      <c r="F193" s="9">
        <v>6.32</v>
      </c>
      <c r="G193" s="9">
        <v>454.75</v>
      </c>
      <c r="H193" s="9">
        <v>1086.75</v>
      </c>
      <c r="I193" s="9">
        <v>310.39999999999998</v>
      </c>
      <c r="J193" s="9">
        <v>53.19</v>
      </c>
      <c r="K193" s="9"/>
      <c r="L193" s="9">
        <v>8976</v>
      </c>
      <c r="M193" s="9">
        <v>2903</v>
      </c>
      <c r="N193" s="9">
        <v>8056</v>
      </c>
      <c r="O193" s="9">
        <v>2235</v>
      </c>
      <c r="P193" s="9">
        <v>9044</v>
      </c>
      <c r="Q193" s="9">
        <v>461.25</v>
      </c>
      <c r="R193" s="9">
        <v>664.6</v>
      </c>
      <c r="S193" s="9">
        <v>1.65</v>
      </c>
      <c r="T193" s="9">
        <v>2.1829999999999998</v>
      </c>
      <c r="U193" s="10">
        <v>621.5</v>
      </c>
      <c r="V193">
        <v>59.41</v>
      </c>
    </row>
    <row r="194" spans="1:22" x14ac:dyDescent="0.25">
      <c r="A194" s="8"/>
      <c r="B194" s="9"/>
      <c r="C194" s="18">
        <v>46052</v>
      </c>
      <c r="D194" s="9">
        <v>585.75</v>
      </c>
      <c r="E194" s="9">
        <v>601.25</v>
      </c>
      <c r="F194" s="9">
        <v>6.375</v>
      </c>
      <c r="G194" s="9">
        <v>456</v>
      </c>
      <c r="H194" s="9">
        <v>1091.25</v>
      </c>
      <c r="I194" s="9">
        <v>309.7</v>
      </c>
      <c r="J194" s="9">
        <v>53.55</v>
      </c>
      <c r="K194" s="9">
        <v>4107</v>
      </c>
      <c r="L194" s="9">
        <v>9056</v>
      </c>
      <c r="M194" s="9">
        <v>2915</v>
      </c>
      <c r="N194" s="9">
        <v>8222</v>
      </c>
      <c r="O194" s="9">
        <v>2242</v>
      </c>
      <c r="P194" s="9">
        <v>9217</v>
      </c>
      <c r="Q194" s="9">
        <v>460.75</v>
      </c>
      <c r="R194" s="9">
        <v>665.1</v>
      </c>
      <c r="S194" s="9">
        <v>1.6525000000000001</v>
      </c>
      <c r="T194" s="9">
        <v>2.2614999999999998</v>
      </c>
      <c r="U194" s="10">
        <v>651.75</v>
      </c>
      <c r="V194">
        <v>62.01</v>
      </c>
    </row>
    <row r="195" spans="1:22" x14ac:dyDescent="0.25">
      <c r="A195" s="11"/>
      <c r="B195" s="12"/>
      <c r="C195" s="18">
        <v>46051</v>
      </c>
      <c r="D195" s="9">
        <v>592</v>
      </c>
      <c r="E195" s="9">
        <v>605.25</v>
      </c>
      <c r="F195" s="9">
        <v>6.3949999999999996</v>
      </c>
      <c r="G195" s="9">
        <v>459</v>
      </c>
      <c r="H195" s="9">
        <v>1100.75</v>
      </c>
      <c r="I195" s="9">
        <v>312.8</v>
      </c>
      <c r="J195" s="9">
        <v>54.08</v>
      </c>
      <c r="K195" s="9">
        <v>4166</v>
      </c>
      <c r="L195" s="9">
        <v>9138</v>
      </c>
      <c r="M195" s="9">
        <v>2931</v>
      </c>
      <c r="N195" s="9">
        <v>8226</v>
      </c>
      <c r="O195" s="9">
        <v>2248</v>
      </c>
      <c r="P195" s="9">
        <v>9188</v>
      </c>
      <c r="Q195" s="9">
        <v>464</v>
      </c>
      <c r="R195" s="9">
        <v>664.8</v>
      </c>
      <c r="S195" s="9">
        <v>1.655</v>
      </c>
      <c r="T195" s="9">
        <v>2.2696000000000001</v>
      </c>
      <c r="U195" s="10">
        <v>644</v>
      </c>
      <c r="V195">
        <v>62.1</v>
      </c>
    </row>
    <row r="196" spans="1:22" x14ac:dyDescent="0.25">
      <c r="A196" s="8"/>
      <c r="B196" s="9"/>
      <c r="C196" s="18">
        <v>46050</v>
      </c>
      <c r="D196" s="9">
        <v>587.25</v>
      </c>
      <c r="E196" s="9">
        <v>600.25</v>
      </c>
      <c r="F196" s="9">
        <v>6.3250000000000002</v>
      </c>
      <c r="G196" s="9">
        <v>457.75</v>
      </c>
      <c r="H196" s="9">
        <v>1101</v>
      </c>
      <c r="I196" s="9">
        <v>313.7</v>
      </c>
      <c r="J196" s="9">
        <v>54.29</v>
      </c>
      <c r="K196" s="9">
        <v>4138</v>
      </c>
      <c r="L196" s="9">
        <v>9056</v>
      </c>
      <c r="M196" s="9">
        <v>2915</v>
      </c>
      <c r="N196" s="9">
        <v>8190</v>
      </c>
      <c r="O196" s="9">
        <v>2228</v>
      </c>
      <c r="P196" s="9">
        <v>9187</v>
      </c>
      <c r="Q196" s="9">
        <v>466</v>
      </c>
      <c r="R196" s="9">
        <v>666.8</v>
      </c>
      <c r="S196" s="9">
        <v>1.6625000000000001</v>
      </c>
      <c r="T196" s="9">
        <v>2.2294</v>
      </c>
      <c r="U196" s="10">
        <v>630.75</v>
      </c>
      <c r="V196">
        <v>60.85</v>
      </c>
    </row>
    <row r="197" spans="1:22" x14ac:dyDescent="0.25">
      <c r="A197" s="11"/>
      <c r="B197" s="12"/>
      <c r="C197" s="18">
        <v>46049</v>
      </c>
      <c r="D197" s="9">
        <v>577</v>
      </c>
      <c r="E197" s="9">
        <v>590.25</v>
      </c>
      <c r="F197" s="9">
        <v>6.3150000000000004</v>
      </c>
      <c r="G197" s="9">
        <v>454.25</v>
      </c>
      <c r="H197" s="9">
        <v>1093.25</v>
      </c>
      <c r="I197" s="9">
        <v>310</v>
      </c>
      <c r="J197" s="9">
        <v>54.41</v>
      </c>
      <c r="K197" s="9">
        <v>4147</v>
      </c>
      <c r="L197" s="9">
        <v>8980</v>
      </c>
      <c r="M197" s="9">
        <v>2910</v>
      </c>
      <c r="N197" s="9">
        <v>8092</v>
      </c>
      <c r="O197" s="9">
        <v>2223</v>
      </c>
      <c r="P197" s="9">
        <v>9152</v>
      </c>
      <c r="Q197" s="9">
        <v>464</v>
      </c>
      <c r="R197" s="9">
        <v>664</v>
      </c>
      <c r="S197" s="9">
        <v>1.6575</v>
      </c>
      <c r="T197" s="9">
        <v>2.2107000000000001</v>
      </c>
      <c r="U197" s="10">
        <v>624.75</v>
      </c>
      <c r="V197">
        <v>60.5</v>
      </c>
    </row>
    <row r="198" spans="1:22" x14ac:dyDescent="0.25">
      <c r="A198" s="8"/>
      <c r="B198" s="9"/>
      <c r="C198" s="18">
        <v>46048</v>
      </c>
      <c r="D198" s="9">
        <v>579.25</v>
      </c>
      <c r="E198" s="9">
        <v>589.5</v>
      </c>
      <c r="F198" s="9">
        <v>6.2874999999999996</v>
      </c>
      <c r="G198" s="9">
        <v>455</v>
      </c>
      <c r="H198" s="9">
        <v>1090.25</v>
      </c>
      <c r="I198" s="9">
        <v>309.5</v>
      </c>
      <c r="J198" s="9">
        <v>53.98</v>
      </c>
      <c r="K198" s="9">
        <v>4121</v>
      </c>
      <c r="L198" s="9">
        <v>8904</v>
      </c>
      <c r="M198" s="9">
        <v>2913</v>
      </c>
      <c r="N198" s="9">
        <v>8056</v>
      </c>
      <c r="O198" s="9">
        <v>2226</v>
      </c>
      <c r="P198" s="9">
        <v>9074</v>
      </c>
      <c r="Q198" s="9">
        <v>464</v>
      </c>
      <c r="R198" s="9">
        <v>662.3</v>
      </c>
      <c r="S198" s="9">
        <v>1.6825000000000001</v>
      </c>
      <c r="T198" s="9">
        <v>2.1848000000000001</v>
      </c>
      <c r="U198" s="10">
        <v>619.25</v>
      </c>
      <c r="V198">
        <v>59.58</v>
      </c>
    </row>
    <row r="199" spans="1:22" x14ac:dyDescent="0.25">
      <c r="A199" s="11"/>
      <c r="B199" s="12"/>
      <c r="C199" s="18">
        <v>46045</v>
      </c>
      <c r="D199" s="9">
        <v>584.25</v>
      </c>
      <c r="E199" s="9">
        <v>598.5</v>
      </c>
      <c r="F199" s="9">
        <v>6.3475000000000001</v>
      </c>
      <c r="G199" s="9">
        <v>455.25</v>
      </c>
      <c r="H199" s="9">
        <v>1093.25</v>
      </c>
      <c r="I199" s="9">
        <v>312.5</v>
      </c>
      <c r="J199" s="9">
        <v>53.95</v>
      </c>
      <c r="K199" s="9">
        <v>4121</v>
      </c>
      <c r="L199" s="9">
        <v>8818</v>
      </c>
      <c r="M199" s="9">
        <v>2905</v>
      </c>
      <c r="N199" s="9">
        <v>7976</v>
      </c>
      <c r="O199" s="9">
        <v>2217</v>
      </c>
      <c r="P199" s="9">
        <v>8942</v>
      </c>
      <c r="Q199" s="9">
        <v>467.25</v>
      </c>
      <c r="R199" s="9">
        <v>669.5</v>
      </c>
      <c r="S199" s="9">
        <v>1.655</v>
      </c>
      <c r="T199" s="9">
        <v>2.1892999999999998</v>
      </c>
      <c r="U199" s="10">
        <v>621.75</v>
      </c>
      <c r="V199">
        <v>59.62</v>
      </c>
    </row>
    <row r="200" spans="1:22" x14ac:dyDescent="0.25">
      <c r="A200" s="8"/>
      <c r="B200" s="9"/>
      <c r="C200" s="18">
        <v>46044</v>
      </c>
      <c r="D200" s="9">
        <v>573.25</v>
      </c>
      <c r="E200" s="9">
        <v>584</v>
      </c>
      <c r="F200" s="9">
        <v>6.3174999999999999</v>
      </c>
      <c r="G200" s="9">
        <v>451.75</v>
      </c>
      <c r="H200" s="9">
        <v>1088.25</v>
      </c>
      <c r="I200" s="9">
        <v>310.39999999999998</v>
      </c>
      <c r="J200" s="9">
        <v>53.81</v>
      </c>
      <c r="K200" s="9">
        <v>4154</v>
      </c>
      <c r="L200" s="9">
        <v>8810</v>
      </c>
      <c r="M200" s="9">
        <v>2900</v>
      </c>
      <c r="N200" s="9">
        <v>7958</v>
      </c>
      <c r="O200" s="9">
        <v>2212</v>
      </c>
      <c r="P200" s="9">
        <v>8931</v>
      </c>
      <c r="Q200" s="9">
        <v>463.75</v>
      </c>
      <c r="R200" s="9">
        <v>661.5</v>
      </c>
      <c r="S200" s="9">
        <v>1.6425000000000001</v>
      </c>
      <c r="T200" s="9">
        <v>2.1642000000000001</v>
      </c>
      <c r="U200" s="10">
        <v>616.75</v>
      </c>
      <c r="V200">
        <v>58.57</v>
      </c>
    </row>
    <row r="201" spans="1:22" x14ac:dyDescent="0.25">
      <c r="A201" s="11"/>
      <c r="B201" s="12"/>
      <c r="C201" s="18">
        <v>46043</v>
      </c>
      <c r="D201" s="9">
        <v>565.75</v>
      </c>
      <c r="E201" s="9">
        <v>578.75</v>
      </c>
      <c r="F201" s="9">
        <v>6.2324999999999999</v>
      </c>
      <c r="G201" s="9">
        <v>449.75</v>
      </c>
      <c r="H201" s="9">
        <v>1085</v>
      </c>
      <c r="I201" s="9">
        <v>307.89999999999998</v>
      </c>
      <c r="J201" s="9">
        <v>53.95</v>
      </c>
      <c r="K201" s="9">
        <v>4128</v>
      </c>
      <c r="L201" s="9">
        <v>8708</v>
      </c>
      <c r="M201" s="9">
        <v>2901</v>
      </c>
      <c r="N201" s="9">
        <v>7910</v>
      </c>
      <c r="O201" s="9">
        <v>2211</v>
      </c>
      <c r="P201" s="9">
        <v>8881</v>
      </c>
      <c r="Q201" s="9">
        <v>464.75</v>
      </c>
      <c r="R201" s="9">
        <v>664.3</v>
      </c>
      <c r="S201" s="9">
        <v>1.635</v>
      </c>
      <c r="T201" s="9">
        <v>2.1926999999999999</v>
      </c>
      <c r="U201" s="10">
        <v>623.25</v>
      </c>
      <c r="V201">
        <v>59.43</v>
      </c>
    </row>
    <row r="202" spans="1:22" x14ac:dyDescent="0.25">
      <c r="A202" s="8"/>
      <c r="B202" s="9"/>
      <c r="C202" s="18">
        <v>46042</v>
      </c>
      <c r="D202" s="9">
        <v>568.25</v>
      </c>
      <c r="E202" s="9">
        <v>582.75</v>
      </c>
      <c r="F202" s="9">
        <v>6.22</v>
      </c>
      <c r="G202" s="9">
        <v>450.5</v>
      </c>
      <c r="H202" s="9">
        <v>1075</v>
      </c>
      <c r="I202" s="9">
        <v>309.10000000000002</v>
      </c>
      <c r="J202" s="9">
        <v>52.65</v>
      </c>
      <c r="K202" s="9">
        <v>4076</v>
      </c>
      <c r="L202" s="9">
        <v>8638</v>
      </c>
      <c r="M202" s="9">
        <v>2900</v>
      </c>
      <c r="N202" s="9">
        <v>7882</v>
      </c>
      <c r="O202" s="9">
        <v>2213</v>
      </c>
      <c r="P202" s="9">
        <v>8858</v>
      </c>
      <c r="Q202" s="9">
        <v>460.75</v>
      </c>
      <c r="R202" s="9">
        <v>656.8</v>
      </c>
      <c r="S202" s="9">
        <v>1.6425000000000001</v>
      </c>
      <c r="T202" s="9">
        <v>2.1718000000000002</v>
      </c>
      <c r="U202" s="10">
        <v>617</v>
      </c>
      <c r="V202">
        <v>59.03</v>
      </c>
    </row>
    <row r="203" spans="1:22" x14ac:dyDescent="0.25">
      <c r="A203" s="11"/>
      <c r="B203" s="12"/>
      <c r="C203" s="18">
        <v>46041</v>
      </c>
      <c r="D203" s="9"/>
      <c r="E203" s="9"/>
      <c r="F203" s="9"/>
      <c r="G203" s="9"/>
      <c r="H203" s="9"/>
      <c r="I203" s="9"/>
      <c r="J203" s="9"/>
      <c r="K203" s="9">
        <v>4057</v>
      </c>
      <c r="L203" s="9">
        <v>8634</v>
      </c>
      <c r="M203" s="9">
        <v>2898</v>
      </c>
      <c r="N203" s="9">
        <v>7862</v>
      </c>
      <c r="O203" s="9">
        <v>2225</v>
      </c>
      <c r="P203" s="9">
        <v>8868</v>
      </c>
      <c r="Q203" s="9">
        <v>457.25</v>
      </c>
      <c r="R203" s="9">
        <v>655.5</v>
      </c>
      <c r="S203" s="9"/>
      <c r="T203" s="9"/>
      <c r="U203" s="10">
        <v>610.25</v>
      </c>
    </row>
    <row r="204" spans="1:22" x14ac:dyDescent="0.25">
      <c r="A204" s="8"/>
      <c r="B204" s="9"/>
      <c r="C204" s="18">
        <v>46038</v>
      </c>
      <c r="D204" s="9">
        <v>573.75</v>
      </c>
      <c r="E204" s="9">
        <v>585.5</v>
      </c>
      <c r="F204" s="9">
        <v>6.2374999999999998</v>
      </c>
      <c r="G204" s="9">
        <v>449.75</v>
      </c>
      <c r="H204" s="9">
        <v>1080.25</v>
      </c>
      <c r="I204" s="9">
        <v>309.2</v>
      </c>
      <c r="J204" s="9">
        <v>52.7</v>
      </c>
      <c r="K204" s="9">
        <v>4059</v>
      </c>
      <c r="L204" s="9"/>
      <c r="M204" s="9"/>
      <c r="N204" s="9"/>
      <c r="O204" s="9"/>
      <c r="P204" s="9"/>
      <c r="Q204" s="9">
        <v>457.75</v>
      </c>
      <c r="R204" s="9">
        <v>654.1</v>
      </c>
      <c r="S204" s="9">
        <v>1.6274999999999999</v>
      </c>
      <c r="T204" s="9">
        <v>2.1381999999999999</v>
      </c>
      <c r="U204" s="10">
        <v>614.5</v>
      </c>
      <c r="V204">
        <v>58.37</v>
      </c>
    </row>
    <row r="205" spans="1:22" x14ac:dyDescent="0.25">
      <c r="A205" s="11"/>
      <c r="B205" s="12"/>
      <c r="C205" s="18">
        <v>46037</v>
      </c>
      <c r="D205" s="9">
        <v>567</v>
      </c>
      <c r="E205" s="9">
        <v>576.75</v>
      </c>
      <c r="F205" s="9">
        <v>6.2175000000000002</v>
      </c>
      <c r="G205" s="9">
        <v>446.75</v>
      </c>
      <c r="H205" s="9">
        <v>1075.5</v>
      </c>
      <c r="I205" s="9">
        <v>306.8</v>
      </c>
      <c r="J205" s="9">
        <v>52.88</v>
      </c>
      <c r="K205" s="9">
        <v>3967</v>
      </c>
      <c r="L205" s="9"/>
      <c r="M205" s="9"/>
      <c r="N205" s="9"/>
      <c r="O205" s="9"/>
      <c r="P205" s="9"/>
      <c r="Q205" s="9">
        <v>457</v>
      </c>
      <c r="R205" s="9">
        <v>650.4</v>
      </c>
      <c r="S205" s="9">
        <v>1.615</v>
      </c>
      <c r="T205" s="9">
        <v>2.1295999999999999</v>
      </c>
      <c r="U205" s="10">
        <v>608</v>
      </c>
      <c r="V205">
        <v>58.16</v>
      </c>
    </row>
    <row r="206" spans="1:22" x14ac:dyDescent="0.25">
      <c r="A206" s="8"/>
      <c r="B206" s="9"/>
      <c r="C206" s="18">
        <v>46036</v>
      </c>
      <c r="D206" s="9">
        <v>569.25</v>
      </c>
      <c r="E206" s="9">
        <v>581</v>
      </c>
      <c r="F206" s="9">
        <v>6.26</v>
      </c>
      <c r="G206" s="9">
        <v>447.75</v>
      </c>
      <c r="H206" s="9">
        <v>1069.75</v>
      </c>
      <c r="I206" s="9">
        <v>309.7</v>
      </c>
      <c r="J206" s="9">
        <v>51.29</v>
      </c>
      <c r="K206" s="9">
        <v>4047</v>
      </c>
      <c r="L206" s="9"/>
      <c r="M206" s="9"/>
      <c r="N206" s="9"/>
      <c r="O206" s="9"/>
      <c r="P206" s="9"/>
      <c r="Q206" s="9">
        <v>456.75</v>
      </c>
      <c r="R206" s="9">
        <v>646.6</v>
      </c>
      <c r="S206" s="9">
        <v>1.615</v>
      </c>
      <c r="T206" s="9">
        <v>2.19</v>
      </c>
      <c r="U206" s="10">
        <v>622.25</v>
      </c>
      <c r="V206">
        <v>60.14</v>
      </c>
    </row>
    <row r="207" spans="1:22" x14ac:dyDescent="0.25">
      <c r="A207" s="11"/>
      <c r="B207" s="12"/>
      <c r="C207" s="18">
        <v>46035</v>
      </c>
      <c r="D207" s="9">
        <v>568</v>
      </c>
      <c r="E207" s="9">
        <v>579.5</v>
      </c>
      <c r="F207" s="9">
        <v>6.24</v>
      </c>
      <c r="G207" s="9">
        <v>445.75</v>
      </c>
      <c r="H207" s="9">
        <v>1070</v>
      </c>
      <c r="I207" s="9">
        <v>308.89999999999998</v>
      </c>
      <c r="J207" s="9">
        <v>51.4</v>
      </c>
      <c r="K207" s="9">
        <v>4060</v>
      </c>
      <c r="L207" s="9"/>
      <c r="M207" s="9"/>
      <c r="N207" s="9"/>
      <c r="O207" s="9"/>
      <c r="P207" s="9"/>
      <c r="Q207" s="9">
        <v>459.25</v>
      </c>
      <c r="R207" s="9">
        <v>650.70000000000005</v>
      </c>
      <c r="S207" s="9">
        <v>1.6174999999999999</v>
      </c>
      <c r="T207" s="9">
        <v>2.157</v>
      </c>
      <c r="U207" s="10">
        <v>616.75</v>
      </c>
      <c r="V207">
        <v>59.4</v>
      </c>
    </row>
    <row r="208" spans="1:22" x14ac:dyDescent="0.25">
      <c r="A208" s="8"/>
      <c r="B208" s="9"/>
      <c r="C208" s="18">
        <v>46034</v>
      </c>
      <c r="D208" s="9">
        <v>568.75</v>
      </c>
      <c r="E208" s="9">
        <v>586</v>
      </c>
      <c r="F208" s="9">
        <v>6.2549999999999999</v>
      </c>
      <c r="G208" s="9">
        <v>451.5</v>
      </c>
      <c r="H208" s="9">
        <v>1078.5</v>
      </c>
      <c r="I208" s="9">
        <v>314.3</v>
      </c>
      <c r="J208" s="9">
        <v>50.51</v>
      </c>
      <c r="K208" s="9">
        <v>4088</v>
      </c>
      <c r="L208" s="9"/>
      <c r="M208" s="9"/>
      <c r="N208" s="9"/>
      <c r="O208" s="9"/>
      <c r="P208" s="9"/>
      <c r="Q208" s="9">
        <v>454.5</v>
      </c>
      <c r="R208" s="9">
        <v>642</v>
      </c>
      <c r="S208" s="9">
        <v>1.6325000000000001</v>
      </c>
      <c r="T208" s="9">
        <v>2.1118000000000001</v>
      </c>
      <c r="U208" s="10">
        <v>601</v>
      </c>
      <c r="V208">
        <v>58.4</v>
      </c>
    </row>
    <row r="209" spans="1:22" x14ac:dyDescent="0.25">
      <c r="A209" s="11"/>
      <c r="B209" s="12"/>
      <c r="C209" s="18">
        <v>46031</v>
      </c>
      <c r="D209" s="9">
        <v>572.75</v>
      </c>
      <c r="E209" s="9">
        <v>590.75</v>
      </c>
      <c r="F209" s="9">
        <v>6.25</v>
      </c>
      <c r="G209" s="9">
        <v>464</v>
      </c>
      <c r="H209" s="9">
        <v>1082.5</v>
      </c>
      <c r="I209" s="9">
        <v>318.8</v>
      </c>
      <c r="J209" s="9">
        <v>50.08</v>
      </c>
      <c r="K209" s="9">
        <v>4028</v>
      </c>
      <c r="L209" s="9"/>
      <c r="M209" s="9"/>
      <c r="N209" s="9"/>
      <c r="O209" s="9"/>
      <c r="P209" s="9"/>
      <c r="Q209" s="9">
        <v>457.75</v>
      </c>
      <c r="R209" s="9">
        <v>642.9</v>
      </c>
      <c r="S209" s="9">
        <v>1.6725000000000001</v>
      </c>
      <c r="T209" s="9">
        <v>2.0977999999999999</v>
      </c>
      <c r="U209" s="10">
        <v>605.75</v>
      </c>
      <c r="V209">
        <v>58.09</v>
      </c>
    </row>
    <row r="210" spans="1:22" x14ac:dyDescent="0.25">
      <c r="A210" s="8"/>
      <c r="B210" s="9"/>
      <c r="C210" s="18">
        <v>46030</v>
      </c>
      <c r="D210" s="9">
        <v>573.25</v>
      </c>
      <c r="E210" s="9">
        <v>591.25</v>
      </c>
      <c r="F210" s="9">
        <v>6.2949999999999999</v>
      </c>
      <c r="G210" s="9">
        <v>464.5</v>
      </c>
      <c r="H210" s="9">
        <v>1083.5</v>
      </c>
      <c r="I210" s="9">
        <v>317.2</v>
      </c>
      <c r="J210" s="9">
        <v>49.91</v>
      </c>
      <c r="K210" s="9">
        <v>4025</v>
      </c>
      <c r="L210" s="9"/>
      <c r="M210" s="9"/>
      <c r="N210" s="9"/>
      <c r="O210" s="9"/>
      <c r="P210" s="9"/>
      <c r="Q210" s="9">
        <v>455</v>
      </c>
      <c r="R210" s="9">
        <v>646.70000000000005</v>
      </c>
      <c r="S210" s="9">
        <v>1.66</v>
      </c>
      <c r="T210" s="9">
        <v>2.0808</v>
      </c>
      <c r="U210" s="10">
        <v>588.5</v>
      </c>
      <c r="V210">
        <v>57.27</v>
      </c>
    </row>
    <row r="211" spans="1:22" x14ac:dyDescent="0.25">
      <c r="A211" s="11"/>
      <c r="B211" s="12"/>
      <c r="C211" s="18">
        <v>46029</v>
      </c>
      <c r="D211" s="9">
        <v>571.75</v>
      </c>
      <c r="E211" s="9">
        <v>590.75</v>
      </c>
      <c r="F211" s="9">
        <v>6.2874999999999996</v>
      </c>
      <c r="G211" s="9">
        <v>463.75</v>
      </c>
      <c r="H211" s="9">
        <v>1085.5</v>
      </c>
      <c r="I211" s="9">
        <v>319.8</v>
      </c>
      <c r="J211" s="9">
        <v>49.79</v>
      </c>
      <c r="K211" s="9">
        <v>4008</v>
      </c>
      <c r="L211" s="9"/>
      <c r="M211" s="9"/>
      <c r="N211" s="9"/>
      <c r="O211" s="9"/>
      <c r="P211" s="9"/>
      <c r="Q211" s="9">
        <v>453.75</v>
      </c>
      <c r="R211" s="9">
        <v>640.4</v>
      </c>
      <c r="S211" s="9">
        <v>1.655</v>
      </c>
      <c r="T211" s="9">
        <v>2.0352000000000001</v>
      </c>
      <c r="U211" s="10">
        <v>584</v>
      </c>
      <c r="V211">
        <v>55.85</v>
      </c>
    </row>
    <row r="212" spans="1:22" x14ac:dyDescent="0.25">
      <c r="A212" s="8"/>
      <c r="B212" s="9"/>
      <c r="C212" s="18">
        <v>46028</v>
      </c>
      <c r="D212" s="9">
        <v>565.75</v>
      </c>
      <c r="E212" s="9">
        <v>580.25</v>
      </c>
      <c r="F212" s="9">
        <v>6.2525000000000004</v>
      </c>
      <c r="G212" s="9">
        <v>461.75</v>
      </c>
      <c r="H212" s="9">
        <v>1078.25</v>
      </c>
      <c r="I212" s="9">
        <v>315.60000000000002</v>
      </c>
      <c r="J212" s="9">
        <v>49.87</v>
      </c>
      <c r="K212" s="9">
        <v>3970</v>
      </c>
      <c r="L212" s="9"/>
      <c r="M212" s="9"/>
      <c r="N212" s="9"/>
      <c r="O212" s="9"/>
      <c r="P212" s="9"/>
      <c r="Q212" s="9">
        <v>454.25</v>
      </c>
      <c r="R212" s="9">
        <v>635.6</v>
      </c>
      <c r="S212" s="9">
        <v>1.665</v>
      </c>
      <c r="T212" s="9">
        <v>2.0527000000000002</v>
      </c>
      <c r="U212" s="10">
        <v>590.75</v>
      </c>
      <c r="V212">
        <v>56.56</v>
      </c>
    </row>
    <row r="213" spans="1:22" x14ac:dyDescent="0.25">
      <c r="A213" s="11"/>
      <c r="B213" s="12"/>
      <c r="C213" s="18">
        <v>46027</v>
      </c>
      <c r="D213" s="9">
        <v>568.25</v>
      </c>
      <c r="E213" s="9">
        <v>581.25</v>
      </c>
      <c r="F213" s="9">
        <v>6.2850000000000001</v>
      </c>
      <c r="G213" s="9">
        <v>463.25</v>
      </c>
      <c r="H213" s="9">
        <v>1086</v>
      </c>
      <c r="I213" s="9">
        <v>316.7</v>
      </c>
      <c r="J213" s="9">
        <v>50.3</v>
      </c>
      <c r="K213" s="9">
        <v>4010</v>
      </c>
      <c r="L213" s="9"/>
      <c r="M213" s="9"/>
      <c r="N213" s="9"/>
      <c r="O213" s="9"/>
      <c r="P213" s="9"/>
      <c r="Q213" s="9">
        <v>449.25</v>
      </c>
      <c r="R213" s="9">
        <v>637.70000000000005</v>
      </c>
      <c r="S213" s="9">
        <v>1.6825000000000001</v>
      </c>
      <c r="T213" s="9">
        <v>2.0830000000000002</v>
      </c>
      <c r="U213" s="10">
        <v>592.75</v>
      </c>
      <c r="V213">
        <v>57.51</v>
      </c>
    </row>
    <row r="214" spans="1:22" x14ac:dyDescent="0.25">
      <c r="A214" s="8"/>
      <c r="B214" s="9"/>
      <c r="C214" s="18">
        <v>46024</v>
      </c>
      <c r="D214" s="9">
        <v>564.75</v>
      </c>
      <c r="E214" s="9">
        <v>577.25</v>
      </c>
      <c r="F214" s="9">
        <v>6.3049999999999997</v>
      </c>
      <c r="G214" s="9">
        <v>458.5</v>
      </c>
      <c r="H214" s="9">
        <v>1073.75</v>
      </c>
      <c r="I214" s="9">
        <v>313.7</v>
      </c>
      <c r="J214" s="9">
        <v>49.71</v>
      </c>
      <c r="K214" s="9">
        <v>3975</v>
      </c>
      <c r="L214" s="9"/>
      <c r="M214" s="9"/>
      <c r="N214" s="9"/>
      <c r="O214" s="9"/>
      <c r="P214" s="9"/>
      <c r="Q214" s="9">
        <v>440</v>
      </c>
      <c r="R214" s="9">
        <v>634.1</v>
      </c>
      <c r="S214" s="9">
        <v>1.6675</v>
      </c>
      <c r="T214" s="9">
        <v>2.0596000000000001</v>
      </c>
      <c r="U214" s="10">
        <v>585</v>
      </c>
      <c r="V214">
        <v>57.01</v>
      </c>
    </row>
    <row r="215" spans="1:22" x14ac:dyDescent="0.25">
      <c r="A215" s="11"/>
      <c r="B215" s="12"/>
      <c r="C215" s="18">
        <v>46022</v>
      </c>
      <c r="D215" s="9">
        <v>564.75</v>
      </c>
      <c r="E215" s="9">
        <v>576.75</v>
      </c>
      <c r="F215" s="9">
        <v>6.3324999999999996</v>
      </c>
      <c r="G215" s="9">
        <v>460.5</v>
      </c>
      <c r="H215" s="9">
        <v>1075</v>
      </c>
      <c r="I215" s="9">
        <v>316.89999999999998</v>
      </c>
      <c r="J215" s="9">
        <v>49.06</v>
      </c>
      <c r="K215" s="9">
        <v>4020</v>
      </c>
      <c r="L215" s="9"/>
      <c r="M215" s="9"/>
      <c r="N215" s="9"/>
      <c r="O215" s="9"/>
      <c r="P215" s="9"/>
      <c r="Q215" s="9">
        <v>446.5</v>
      </c>
      <c r="R215" s="9">
        <v>632</v>
      </c>
      <c r="S215" s="9">
        <v>1.67</v>
      </c>
      <c r="T215" s="9">
        <v>2.0575999999999999</v>
      </c>
      <c r="U215" s="10">
        <v>595.25</v>
      </c>
      <c r="V215">
        <v>56.92</v>
      </c>
    </row>
    <row r="216" spans="1:22" x14ac:dyDescent="0.25">
      <c r="A216" s="8"/>
      <c r="B216" s="9"/>
      <c r="C216" s="18">
        <v>46021</v>
      </c>
      <c r="D216" s="9">
        <v>567.5</v>
      </c>
      <c r="E216" s="9">
        <v>583.25</v>
      </c>
      <c r="F216" s="9">
        <v>6.375</v>
      </c>
      <c r="G216" s="9">
        <v>461</v>
      </c>
      <c r="H216" s="9">
        <v>1084.25</v>
      </c>
      <c r="I216" s="9">
        <v>318.3</v>
      </c>
      <c r="J216" s="9">
        <v>49.83</v>
      </c>
      <c r="K216" s="9">
        <v>4027</v>
      </c>
      <c r="L216" s="9"/>
      <c r="M216" s="9"/>
      <c r="N216" s="9"/>
      <c r="O216" s="9"/>
      <c r="P216" s="9"/>
      <c r="Q216" s="9">
        <v>446</v>
      </c>
      <c r="R216" s="9">
        <v>637.5</v>
      </c>
      <c r="S216" s="9">
        <v>1.6775</v>
      </c>
      <c r="T216" s="9">
        <v>2.0750999999999999</v>
      </c>
      <c r="U216" s="10">
        <v>595.5</v>
      </c>
      <c r="V216">
        <v>57.42</v>
      </c>
    </row>
    <row r="217" spans="1:22" x14ac:dyDescent="0.25">
      <c r="A217" s="11"/>
      <c r="B217" s="12"/>
      <c r="C217" s="18">
        <v>46020</v>
      </c>
      <c r="D217" s="9">
        <v>570.25</v>
      </c>
      <c r="E217" s="9">
        <v>588</v>
      </c>
      <c r="F217" s="9">
        <v>6.3775000000000004</v>
      </c>
      <c r="G217" s="9">
        <v>463</v>
      </c>
      <c r="H217" s="9">
        <v>1085.25</v>
      </c>
      <c r="I217" s="9">
        <v>318.10000000000002</v>
      </c>
      <c r="J217" s="9">
        <v>49.74</v>
      </c>
      <c r="K217" s="9">
        <v>3997</v>
      </c>
      <c r="L217" s="9"/>
      <c r="M217" s="9"/>
      <c r="N217" s="9"/>
      <c r="O217" s="9"/>
      <c r="P217" s="9"/>
      <c r="Q217" s="9">
        <v>445</v>
      </c>
      <c r="R217" s="9">
        <v>631.9</v>
      </c>
      <c r="S217" s="9">
        <v>1.6725000000000001</v>
      </c>
      <c r="T217" s="9">
        <v>2.0706000000000002</v>
      </c>
      <c r="U217" s="10">
        <v>595</v>
      </c>
      <c r="V217">
        <v>57.49</v>
      </c>
    </row>
    <row r="218" spans="1:22" x14ac:dyDescent="0.25">
      <c r="A218" s="8"/>
      <c r="B218" s="9"/>
      <c r="C218" s="18">
        <v>46017</v>
      </c>
      <c r="D218" s="9">
        <v>574.5</v>
      </c>
      <c r="E218" s="9">
        <v>593</v>
      </c>
      <c r="F218" s="9">
        <v>6.37</v>
      </c>
      <c r="G218" s="9">
        <v>468.5</v>
      </c>
      <c r="H218" s="9">
        <v>1092.25</v>
      </c>
      <c r="I218" s="9">
        <v>321.3</v>
      </c>
      <c r="J218" s="9">
        <v>49.65</v>
      </c>
      <c r="K218" s="9">
        <v>4022</v>
      </c>
      <c r="L218" s="9"/>
      <c r="M218" s="9"/>
      <c r="N218" s="9"/>
      <c r="O218" s="9"/>
      <c r="P218" s="9"/>
      <c r="Q218" s="9"/>
      <c r="R218" s="9"/>
      <c r="S218" s="9">
        <v>1.6875</v>
      </c>
      <c r="T218" s="9">
        <v>2.0470000000000002</v>
      </c>
      <c r="U218" s="10">
        <v>592.25</v>
      </c>
      <c r="V218">
        <v>56.58</v>
      </c>
    </row>
    <row r="219" spans="1:22" x14ac:dyDescent="0.25">
      <c r="A219" s="11"/>
      <c r="B219" s="12"/>
      <c r="C219" s="18">
        <v>46015</v>
      </c>
      <c r="D219" s="9">
        <v>575.5</v>
      </c>
      <c r="E219" s="9">
        <v>592.75</v>
      </c>
      <c r="F219" s="9">
        <v>6.375</v>
      </c>
      <c r="G219" s="9">
        <v>467.75</v>
      </c>
      <c r="H219" s="9">
        <v>1094</v>
      </c>
      <c r="I219" s="9">
        <v>321.3</v>
      </c>
      <c r="J219" s="9">
        <v>49.85</v>
      </c>
      <c r="K219" s="9">
        <v>4003</v>
      </c>
      <c r="L219" s="9"/>
      <c r="M219" s="9"/>
      <c r="N219" s="9"/>
      <c r="O219" s="9"/>
      <c r="P219" s="9"/>
      <c r="Q219" s="9">
        <v>445.5</v>
      </c>
      <c r="R219" s="9">
        <v>640.20000000000005</v>
      </c>
      <c r="S219" s="9">
        <v>1.6875</v>
      </c>
      <c r="T219" s="9">
        <v>2.0794999999999999</v>
      </c>
      <c r="U219" s="10">
        <v>603</v>
      </c>
      <c r="V219">
        <v>57.8</v>
      </c>
    </row>
    <row r="220" spans="1:22" x14ac:dyDescent="0.25">
      <c r="A220" s="8"/>
      <c r="B220" s="9"/>
      <c r="C220" s="18">
        <v>46014</v>
      </c>
      <c r="D220" s="9">
        <v>570</v>
      </c>
      <c r="E220" s="9">
        <v>587</v>
      </c>
      <c r="F220" s="9">
        <v>6.3650000000000002</v>
      </c>
      <c r="G220" s="9">
        <v>465</v>
      </c>
      <c r="H220" s="9">
        <v>1083</v>
      </c>
      <c r="I220" s="9">
        <v>318.2</v>
      </c>
      <c r="J220" s="9">
        <v>49.22</v>
      </c>
      <c r="K220" s="9">
        <v>4012</v>
      </c>
      <c r="L220" s="9"/>
      <c r="M220" s="9"/>
      <c r="N220" s="9"/>
      <c r="O220" s="9"/>
      <c r="P220" s="9"/>
      <c r="Q220" s="9">
        <v>448.25</v>
      </c>
      <c r="R220" s="9">
        <v>632.29999999999995</v>
      </c>
      <c r="S220" s="9">
        <v>1.6625000000000001</v>
      </c>
      <c r="T220" s="9">
        <v>2.0920999999999998</v>
      </c>
      <c r="U220" s="10">
        <v>598.5</v>
      </c>
      <c r="V220">
        <v>57.7</v>
      </c>
    </row>
    <row r="221" spans="1:22" x14ac:dyDescent="0.25">
      <c r="A221" s="11"/>
      <c r="B221" s="12"/>
      <c r="C221" s="18">
        <v>46013</v>
      </c>
      <c r="D221" s="9">
        <v>568.5</v>
      </c>
      <c r="E221" s="9">
        <v>581.25</v>
      </c>
      <c r="F221" s="9">
        <v>6.375</v>
      </c>
      <c r="G221" s="9">
        <v>464.5</v>
      </c>
      <c r="H221" s="9">
        <v>1081.75</v>
      </c>
      <c r="I221" s="9">
        <v>317</v>
      </c>
      <c r="J221" s="9">
        <v>49.57</v>
      </c>
      <c r="K221" s="9">
        <v>3997</v>
      </c>
      <c r="L221" s="9"/>
      <c r="M221" s="9"/>
      <c r="N221" s="9"/>
      <c r="O221" s="9"/>
      <c r="P221" s="9"/>
      <c r="Q221" s="9">
        <v>451</v>
      </c>
      <c r="R221" s="9">
        <v>639.20000000000005</v>
      </c>
      <c r="S221" s="9">
        <v>1.665</v>
      </c>
      <c r="T221" s="9">
        <v>2.0792000000000002</v>
      </c>
      <c r="U221" s="10">
        <v>594.25</v>
      </c>
      <c r="V221">
        <v>57.5</v>
      </c>
    </row>
    <row r="222" spans="1:22" x14ac:dyDescent="0.25">
      <c r="A222" s="8"/>
      <c r="B222" s="9"/>
      <c r="C222" s="18">
        <v>46010</v>
      </c>
      <c r="D222" s="9">
        <v>563</v>
      </c>
      <c r="E222" s="9">
        <v>575</v>
      </c>
      <c r="F222" s="9">
        <v>6.3475000000000001</v>
      </c>
      <c r="G222" s="9">
        <v>462</v>
      </c>
      <c r="H222" s="9">
        <v>1077.75</v>
      </c>
      <c r="I222" s="9">
        <v>316.10000000000002</v>
      </c>
      <c r="J222" s="9">
        <v>48.94</v>
      </c>
      <c r="K222" s="9">
        <v>3919</v>
      </c>
      <c r="L222" s="9"/>
      <c r="M222" s="9"/>
      <c r="N222" s="9"/>
      <c r="O222" s="9"/>
      <c r="P222" s="9"/>
      <c r="Q222" s="9">
        <v>448</v>
      </c>
      <c r="R222" s="9">
        <v>624.79999999999995</v>
      </c>
      <c r="S222" s="9">
        <v>1.6675</v>
      </c>
      <c r="T222" s="9">
        <v>2.0491000000000001</v>
      </c>
      <c r="U222" s="10">
        <v>586.75</v>
      </c>
      <c r="V222">
        <v>56.44</v>
      </c>
    </row>
    <row r="223" spans="1:22" x14ac:dyDescent="0.25">
      <c r="A223" s="11"/>
      <c r="B223" s="12"/>
      <c r="C223" s="18">
        <v>46009</v>
      </c>
      <c r="D223" s="9">
        <v>562</v>
      </c>
      <c r="E223" s="9">
        <v>576.25</v>
      </c>
      <c r="F223" s="9">
        <v>6.2975000000000003</v>
      </c>
      <c r="G223" s="9">
        <v>462.25</v>
      </c>
      <c r="H223" s="9">
        <v>1081</v>
      </c>
      <c r="I223" s="9">
        <v>317.10000000000002</v>
      </c>
      <c r="J223" s="9">
        <v>48.99</v>
      </c>
      <c r="K223" s="9">
        <v>3980</v>
      </c>
      <c r="L223" s="9"/>
      <c r="M223" s="9"/>
      <c r="N223" s="9"/>
      <c r="O223" s="9"/>
      <c r="P223" s="9"/>
      <c r="Q223" s="9">
        <v>454</v>
      </c>
      <c r="R223" s="9">
        <v>629.79999999999995</v>
      </c>
      <c r="S223" s="9">
        <v>1.6850000000000001</v>
      </c>
      <c r="T223" s="9">
        <v>2.0508000000000002</v>
      </c>
      <c r="U223" s="10">
        <v>588.25</v>
      </c>
      <c r="V223">
        <v>56.17</v>
      </c>
    </row>
    <row r="224" spans="1:22" x14ac:dyDescent="0.25">
      <c r="A224" s="8"/>
      <c r="B224" s="9"/>
      <c r="C224" s="18">
        <v>46008</v>
      </c>
      <c r="D224" s="9">
        <v>559.5</v>
      </c>
      <c r="E224" s="9">
        <v>568.5</v>
      </c>
      <c r="F224" s="9">
        <v>6.2125000000000004</v>
      </c>
      <c r="G224" s="9">
        <v>460.5</v>
      </c>
      <c r="H224" s="9">
        <v>1085</v>
      </c>
      <c r="I224" s="9">
        <v>316.10000000000002</v>
      </c>
      <c r="J224" s="9">
        <v>49.43</v>
      </c>
      <c r="K224" s="9">
        <v>3979</v>
      </c>
      <c r="L224" s="9"/>
      <c r="M224" s="9"/>
      <c r="N224" s="9"/>
      <c r="O224" s="9"/>
      <c r="P224" s="9"/>
      <c r="Q224" s="9">
        <v>455</v>
      </c>
      <c r="R224" s="9">
        <v>635.6</v>
      </c>
      <c r="S224" s="9">
        <v>1.68</v>
      </c>
      <c r="T224" s="9">
        <v>2.0491000000000001</v>
      </c>
      <c r="U224" s="10">
        <v>588.25</v>
      </c>
      <c r="V224">
        <v>56.15</v>
      </c>
    </row>
    <row r="225" spans="1:22" x14ac:dyDescent="0.25">
      <c r="A225" s="11"/>
      <c r="B225" s="12"/>
      <c r="C225" s="18">
        <v>46007</v>
      </c>
      <c r="D225" s="9">
        <v>560</v>
      </c>
      <c r="E225" s="9">
        <v>566.25</v>
      </c>
      <c r="F225" s="9">
        <v>6.2450000000000001</v>
      </c>
      <c r="G225" s="9">
        <v>459.5</v>
      </c>
      <c r="H225" s="9">
        <v>1090.5</v>
      </c>
      <c r="I225" s="9">
        <v>321.2</v>
      </c>
      <c r="J225" s="9">
        <v>49.35</v>
      </c>
      <c r="K225" s="9">
        <v>3967</v>
      </c>
      <c r="L225" s="9"/>
      <c r="M225" s="9"/>
      <c r="N225" s="9"/>
      <c r="O225" s="9"/>
      <c r="P225" s="9"/>
      <c r="Q225" s="9">
        <v>455.75</v>
      </c>
      <c r="R225" s="9">
        <v>637.79999999999995</v>
      </c>
      <c r="S225" s="9">
        <v>1.67</v>
      </c>
      <c r="T225" s="9">
        <v>2.044</v>
      </c>
      <c r="U225" s="10">
        <v>585.25</v>
      </c>
      <c r="V225">
        <v>55.76</v>
      </c>
    </row>
    <row r="226" spans="1:22" x14ac:dyDescent="0.25">
      <c r="A226" s="8"/>
      <c r="B226" s="9"/>
      <c r="C226" s="18">
        <v>46006</v>
      </c>
      <c r="D226" s="9">
        <v>567.75</v>
      </c>
      <c r="E226" s="9">
        <v>572</v>
      </c>
      <c r="F226" s="9">
        <v>6.2575000000000003</v>
      </c>
      <c r="G226" s="9">
        <v>461</v>
      </c>
      <c r="H226" s="9">
        <v>1098.5</v>
      </c>
      <c r="I226" s="9">
        <v>321.3</v>
      </c>
      <c r="J226" s="9">
        <v>50.15</v>
      </c>
      <c r="K226" s="9">
        <v>3988</v>
      </c>
      <c r="L226" s="9"/>
      <c r="M226" s="9"/>
      <c r="N226" s="9"/>
      <c r="O226" s="9"/>
      <c r="P226" s="9"/>
      <c r="Q226" s="9">
        <v>458</v>
      </c>
      <c r="R226" s="9">
        <v>640.4</v>
      </c>
      <c r="S226" s="9">
        <v>1.675</v>
      </c>
      <c r="T226" s="9">
        <v>2.0836999999999999</v>
      </c>
      <c r="U226" s="10">
        <v>594.25</v>
      </c>
      <c r="V226">
        <v>57.09</v>
      </c>
    </row>
    <row r="227" spans="1:22" x14ac:dyDescent="0.25">
      <c r="A227" s="11"/>
      <c r="B227" s="12"/>
      <c r="C227" s="18">
        <v>46003</v>
      </c>
      <c r="D227" s="9">
        <v>574</v>
      </c>
      <c r="E227" s="9">
        <v>577.75</v>
      </c>
      <c r="F227" s="9">
        <v>6.3150000000000004</v>
      </c>
      <c r="G227" s="9">
        <v>462</v>
      </c>
      <c r="H227" s="9">
        <v>1098</v>
      </c>
      <c r="I227" s="9">
        <v>320.5</v>
      </c>
      <c r="J227" s="9">
        <v>50.6</v>
      </c>
      <c r="K227" s="9">
        <v>4012</v>
      </c>
      <c r="L227" s="9"/>
      <c r="M227" s="9"/>
      <c r="N227" s="9"/>
      <c r="O227" s="9"/>
      <c r="P227" s="9"/>
      <c r="Q227" s="9">
        <v>460.25</v>
      </c>
      <c r="R227" s="9">
        <v>641.79999999999995</v>
      </c>
      <c r="S227" s="9">
        <v>1.69</v>
      </c>
      <c r="T227" s="9">
        <v>2.0880000000000001</v>
      </c>
      <c r="U227" s="10">
        <v>597.5</v>
      </c>
      <c r="V227">
        <v>57.16</v>
      </c>
    </row>
    <row r="228" spans="1:22" x14ac:dyDescent="0.25">
      <c r="A228" s="8"/>
      <c r="B228" s="9"/>
      <c r="C228" s="18">
        <v>46002</v>
      </c>
      <c r="D228" s="9">
        <v>577</v>
      </c>
      <c r="E228" s="9">
        <v>581</v>
      </c>
      <c r="F228" s="9">
        <v>6.3224999999999998</v>
      </c>
      <c r="G228" s="9">
        <v>465</v>
      </c>
      <c r="H228" s="9">
        <v>1107.75</v>
      </c>
      <c r="I228" s="9">
        <v>323.2</v>
      </c>
      <c r="J228" s="9">
        <v>51.19</v>
      </c>
      <c r="K228" s="9">
        <v>4062</v>
      </c>
      <c r="L228" s="9"/>
      <c r="M228" s="9"/>
      <c r="N228" s="9"/>
      <c r="O228" s="9"/>
      <c r="P228" s="9"/>
      <c r="Q228" s="9">
        <v>463.75</v>
      </c>
      <c r="R228" s="9">
        <v>653.4</v>
      </c>
      <c r="S228" s="9">
        <v>1.6924999999999999</v>
      </c>
      <c r="T228" s="9">
        <v>2.1040000000000001</v>
      </c>
      <c r="U228" s="10">
        <v>600</v>
      </c>
      <c r="V228">
        <v>57.43</v>
      </c>
    </row>
    <row r="229" spans="1:22" x14ac:dyDescent="0.25">
      <c r="A229" s="11"/>
      <c r="B229" s="12"/>
      <c r="C229" s="18">
        <v>46001</v>
      </c>
      <c r="D229" s="9">
        <v>574.75</v>
      </c>
      <c r="E229" s="9">
        <v>582</v>
      </c>
      <c r="F229" s="9">
        <v>6.32</v>
      </c>
      <c r="G229" s="9">
        <v>463.75</v>
      </c>
      <c r="H229" s="9">
        <v>1104.75</v>
      </c>
      <c r="I229" s="9">
        <v>322.89999999999998</v>
      </c>
      <c r="J229" s="9">
        <v>51.39</v>
      </c>
      <c r="K229" s="9">
        <v>4069</v>
      </c>
      <c r="L229" s="9"/>
      <c r="M229" s="9"/>
      <c r="N229" s="9"/>
      <c r="O229" s="9"/>
      <c r="P229" s="9"/>
      <c r="Q229" s="9">
        <v>461.5</v>
      </c>
      <c r="R229" s="9">
        <v>650.4</v>
      </c>
      <c r="S229" s="9">
        <v>1.6725000000000001</v>
      </c>
      <c r="T229" s="9">
        <v>2.1294</v>
      </c>
      <c r="U229" s="10">
        <v>607</v>
      </c>
      <c r="V229">
        <v>58.04</v>
      </c>
    </row>
    <row r="230" spans="1:22" x14ac:dyDescent="0.25">
      <c r="A230" s="8"/>
      <c r="B230" s="9"/>
      <c r="C230" s="18">
        <v>46000</v>
      </c>
      <c r="D230" s="9">
        <v>578</v>
      </c>
      <c r="E230" s="9">
        <v>584.5</v>
      </c>
      <c r="F230" s="9">
        <v>6.3049999999999997</v>
      </c>
      <c r="G230" s="9">
        <v>465.75</v>
      </c>
      <c r="H230" s="9">
        <v>1103.75</v>
      </c>
      <c r="I230" s="9">
        <v>323.89999999999998</v>
      </c>
      <c r="J230" s="9">
        <v>51.28</v>
      </c>
      <c r="K230" s="9">
        <v>4092</v>
      </c>
      <c r="L230" s="9"/>
      <c r="M230" s="9"/>
      <c r="N230" s="9"/>
      <c r="O230" s="9"/>
      <c r="P230" s="9"/>
      <c r="Q230" s="9">
        <v>460</v>
      </c>
      <c r="R230" s="9">
        <v>656.9</v>
      </c>
      <c r="S230" s="9">
        <v>1.665</v>
      </c>
      <c r="T230" s="9">
        <v>2.1240999999999999</v>
      </c>
      <c r="U230" s="10">
        <v>608.5</v>
      </c>
      <c r="V230">
        <v>57.85</v>
      </c>
    </row>
    <row r="231" spans="1:22" x14ac:dyDescent="0.25">
      <c r="A231" s="11"/>
      <c r="B231" s="12"/>
      <c r="C231" s="18">
        <v>45999</v>
      </c>
      <c r="D231" s="9">
        <v>578.25</v>
      </c>
      <c r="E231" s="9">
        <v>584.75</v>
      </c>
      <c r="F231" s="9">
        <v>6.2824999999999998</v>
      </c>
      <c r="G231" s="9">
        <v>464</v>
      </c>
      <c r="H231" s="9">
        <v>1110.75</v>
      </c>
      <c r="I231" s="9">
        <v>325.2</v>
      </c>
      <c r="J231" s="9">
        <v>51.44</v>
      </c>
      <c r="K231" s="9">
        <v>4087</v>
      </c>
      <c r="L231" s="9"/>
      <c r="M231" s="9"/>
      <c r="N231" s="9"/>
      <c r="O231" s="9"/>
      <c r="P231" s="9"/>
      <c r="Q231" s="9">
        <v>464</v>
      </c>
      <c r="R231" s="9">
        <v>653.29999999999995</v>
      </c>
      <c r="S231" s="9">
        <v>1.6850000000000001</v>
      </c>
      <c r="T231" s="9">
        <v>2.1324999999999998</v>
      </c>
      <c r="U231" s="10">
        <v>613</v>
      </c>
      <c r="V231">
        <v>58.07</v>
      </c>
    </row>
    <row r="232" spans="1:22" x14ac:dyDescent="0.25">
      <c r="A232" s="8"/>
      <c r="B232" s="9"/>
      <c r="C232" s="18">
        <v>45996</v>
      </c>
      <c r="D232" s="9">
        <v>578.75</v>
      </c>
      <c r="E232" s="9">
        <v>589</v>
      </c>
      <c r="F232" s="9">
        <v>6.3025000000000002</v>
      </c>
      <c r="G232" s="9">
        <v>464.25</v>
      </c>
      <c r="H232" s="9">
        <v>1112.5</v>
      </c>
      <c r="I232" s="9">
        <v>326</v>
      </c>
      <c r="J232" s="9">
        <v>51.91</v>
      </c>
      <c r="K232" s="9">
        <v>4138</v>
      </c>
      <c r="L232" s="9"/>
      <c r="M232" s="9"/>
      <c r="N232" s="9"/>
      <c r="O232" s="9"/>
      <c r="P232" s="9"/>
      <c r="Q232" s="9">
        <v>462.25</v>
      </c>
      <c r="R232" s="9">
        <v>657.8</v>
      </c>
      <c r="S232" s="9">
        <v>1.7024999999999999</v>
      </c>
      <c r="T232" s="9">
        <v>2.1602000000000001</v>
      </c>
      <c r="U232" s="10">
        <v>620</v>
      </c>
      <c r="V232">
        <v>58.95</v>
      </c>
    </row>
    <row r="233" spans="1:22" x14ac:dyDescent="0.25">
      <c r="A233" s="11"/>
      <c r="B233" s="12"/>
      <c r="C233" s="18">
        <v>45995</v>
      </c>
      <c r="D233" s="9">
        <v>583</v>
      </c>
      <c r="E233" s="9">
        <v>591.75</v>
      </c>
      <c r="F233" s="9">
        <v>6.3075000000000001</v>
      </c>
      <c r="G233" s="9">
        <v>464.75</v>
      </c>
      <c r="H233" s="9">
        <v>1123</v>
      </c>
      <c r="I233" s="9">
        <v>329.6</v>
      </c>
      <c r="J233" s="9">
        <v>51.99</v>
      </c>
      <c r="K233" s="9">
        <v>4091</v>
      </c>
      <c r="L233" s="9"/>
      <c r="M233" s="9"/>
      <c r="N233" s="9"/>
      <c r="O233" s="9"/>
      <c r="P233" s="9"/>
      <c r="Q233" s="9">
        <v>461.75</v>
      </c>
      <c r="R233" s="9">
        <v>663.3</v>
      </c>
      <c r="S233" s="9">
        <v>1.6625000000000001</v>
      </c>
      <c r="T233" s="9">
        <v>2.1475</v>
      </c>
      <c r="U233" s="10">
        <v>615.75</v>
      </c>
      <c r="V233">
        <v>58.58</v>
      </c>
    </row>
    <row r="234" spans="1:22" x14ac:dyDescent="0.25">
      <c r="A234" s="8"/>
      <c r="B234" s="9"/>
      <c r="C234" s="18">
        <v>45994</v>
      </c>
      <c r="D234" s="9">
        <v>581.25</v>
      </c>
      <c r="E234" s="9">
        <v>587</v>
      </c>
      <c r="F234" s="9">
        <v>6.32</v>
      </c>
      <c r="G234" s="9">
        <v>463.5</v>
      </c>
      <c r="H234" s="9">
        <v>1122.5</v>
      </c>
      <c r="I234" s="9">
        <v>330.3</v>
      </c>
      <c r="J234" s="9">
        <v>51.95</v>
      </c>
      <c r="K234" s="9">
        <v>4140</v>
      </c>
      <c r="L234" s="9"/>
      <c r="M234" s="9"/>
      <c r="N234" s="9"/>
      <c r="O234" s="9"/>
      <c r="P234" s="9"/>
      <c r="Q234" s="9">
        <v>464.75</v>
      </c>
      <c r="R234" s="9">
        <v>661.4</v>
      </c>
      <c r="S234" s="9">
        <v>1.6675</v>
      </c>
      <c r="T234" s="9">
        <v>2.1423999999999999</v>
      </c>
      <c r="U234" s="10">
        <v>616</v>
      </c>
      <c r="V234">
        <v>58.18</v>
      </c>
    </row>
    <row r="235" spans="1:22" x14ac:dyDescent="0.25">
      <c r="A235" s="11"/>
      <c r="B235" s="12"/>
      <c r="C235" s="18">
        <v>45993</v>
      </c>
      <c r="D235" s="9">
        <v>584.5</v>
      </c>
      <c r="E235" s="9">
        <v>589.25</v>
      </c>
      <c r="F235" s="9">
        <v>6.34</v>
      </c>
      <c r="G235" s="9">
        <v>469.25</v>
      </c>
      <c r="H235" s="9">
        <v>1131</v>
      </c>
      <c r="I235" s="9">
        <v>331.3</v>
      </c>
      <c r="J235" s="9">
        <v>52.84</v>
      </c>
      <c r="K235" s="9">
        <v>4142</v>
      </c>
      <c r="L235" s="9"/>
      <c r="M235" s="9"/>
      <c r="N235" s="9"/>
      <c r="O235" s="9"/>
      <c r="P235" s="9"/>
      <c r="Q235" s="9">
        <v>468.75</v>
      </c>
      <c r="R235" s="9">
        <v>672.8</v>
      </c>
      <c r="S235" s="9">
        <v>1.675</v>
      </c>
      <c r="T235" s="9">
        <v>2.1493000000000002</v>
      </c>
      <c r="U235" s="10">
        <v>618</v>
      </c>
      <c r="V235">
        <v>58.11</v>
      </c>
    </row>
    <row r="236" spans="1:22" x14ac:dyDescent="0.25">
      <c r="A236" s="8"/>
      <c r="B236" s="9"/>
      <c r="C236" s="18">
        <v>45992</v>
      </c>
      <c r="D236" s="9">
        <v>581.25</v>
      </c>
      <c r="E236" s="9">
        <v>582.5</v>
      </c>
      <c r="F236" s="9">
        <v>6.3075000000000001</v>
      </c>
      <c r="G236" s="9">
        <v>467</v>
      </c>
      <c r="H236" s="9">
        <v>1133.25</v>
      </c>
      <c r="I236" s="9">
        <v>332.7</v>
      </c>
      <c r="J236" s="9">
        <v>52.51</v>
      </c>
      <c r="K236" s="9">
        <v>4084</v>
      </c>
      <c r="L236" s="9"/>
      <c r="M236" s="9"/>
      <c r="N236" s="9"/>
      <c r="O236" s="9"/>
      <c r="P236" s="9"/>
      <c r="Q236" s="9">
        <v>465.75</v>
      </c>
      <c r="R236" s="9">
        <v>674.4</v>
      </c>
      <c r="S236" s="9">
        <v>1.68</v>
      </c>
      <c r="T236" s="9">
        <v>2.1655000000000002</v>
      </c>
      <c r="U236" s="10">
        <v>619.25</v>
      </c>
      <c r="V236">
        <v>58.79</v>
      </c>
    </row>
    <row r="237" spans="1:22" x14ac:dyDescent="0.25">
      <c r="A237" s="11"/>
      <c r="B237" s="12"/>
      <c r="C237" s="18">
        <v>45989</v>
      </c>
      <c r="D237" s="9">
        <v>584</v>
      </c>
      <c r="E237" s="9">
        <v>583.75</v>
      </c>
      <c r="F237" s="9">
        <v>6.3125</v>
      </c>
      <c r="G237" s="9">
        <v>468.25</v>
      </c>
      <c r="H237" s="9">
        <v>1136.25</v>
      </c>
      <c r="I237" s="9">
        <v>336.5</v>
      </c>
      <c r="J237" s="9">
        <v>52.04</v>
      </c>
      <c r="K237" s="9">
        <v>4095</v>
      </c>
      <c r="L237" s="9"/>
      <c r="M237" s="9"/>
      <c r="N237" s="9"/>
      <c r="O237" s="9"/>
      <c r="P237" s="9"/>
      <c r="Q237" s="9">
        <v>469.75</v>
      </c>
      <c r="R237" s="9">
        <v>676.1</v>
      </c>
      <c r="S237" s="9">
        <v>1.6850000000000001</v>
      </c>
      <c r="T237" s="9">
        <v>2.1372</v>
      </c>
      <c r="U237" s="10">
        <v>619.75</v>
      </c>
      <c r="V237">
        <v>58.05</v>
      </c>
    </row>
    <row r="238" spans="1:22" x14ac:dyDescent="0.25">
      <c r="A238" s="8"/>
      <c r="B238" s="9"/>
      <c r="C238" s="18">
        <v>45988</v>
      </c>
      <c r="D238" s="9"/>
      <c r="E238" s="9"/>
      <c r="F238" s="9"/>
      <c r="G238" s="9"/>
      <c r="H238" s="9"/>
      <c r="I238" s="9"/>
      <c r="J238" s="9"/>
      <c r="K238" s="9">
        <v>4091</v>
      </c>
      <c r="L238" s="9"/>
      <c r="M238" s="9"/>
      <c r="N238" s="9"/>
      <c r="O238" s="9"/>
      <c r="P238" s="9"/>
      <c r="Q238" s="9">
        <v>470</v>
      </c>
      <c r="R238" s="9">
        <v>677.4</v>
      </c>
      <c r="S238" s="9"/>
      <c r="T238" s="9"/>
      <c r="U238" s="10">
        <v>619</v>
      </c>
    </row>
    <row r="239" spans="1:22" x14ac:dyDescent="0.25">
      <c r="A239" s="11"/>
      <c r="B239" s="12"/>
      <c r="C239" s="18">
        <v>45987</v>
      </c>
      <c r="D239" s="9">
        <v>586.25</v>
      </c>
      <c r="E239" s="9">
        <v>586.25</v>
      </c>
      <c r="F239" s="9">
        <v>6.3224999999999998</v>
      </c>
      <c r="G239" s="9">
        <v>465.25</v>
      </c>
      <c r="H239" s="9">
        <v>1130.75</v>
      </c>
      <c r="I239" s="9">
        <v>339.9</v>
      </c>
      <c r="J239" s="9">
        <v>51.13</v>
      </c>
      <c r="K239" s="9">
        <v>4031</v>
      </c>
      <c r="L239" s="9"/>
      <c r="M239" s="9"/>
      <c r="N239" s="9"/>
      <c r="O239" s="9"/>
      <c r="P239" s="9"/>
      <c r="Q239" s="9">
        <v>467.75</v>
      </c>
      <c r="R239" s="9">
        <v>678.1</v>
      </c>
      <c r="S239" s="9">
        <v>1.6850000000000001</v>
      </c>
      <c r="T239" s="9">
        <v>2.1448</v>
      </c>
      <c r="U239" s="10">
        <v>611.25</v>
      </c>
      <c r="V239">
        <v>58.4</v>
      </c>
    </row>
    <row r="240" spans="1:22" x14ac:dyDescent="0.25">
      <c r="A240" s="8"/>
      <c r="B240" s="9"/>
      <c r="C240" s="18">
        <v>45986</v>
      </c>
      <c r="D240" s="9">
        <v>583.5</v>
      </c>
      <c r="E240" s="9">
        <v>583.25</v>
      </c>
      <c r="F240" s="9">
        <v>6.3574999999999999</v>
      </c>
      <c r="G240" s="9">
        <v>461.75</v>
      </c>
      <c r="H240" s="9">
        <v>1128.25</v>
      </c>
      <c r="I240" s="9">
        <v>339.6</v>
      </c>
      <c r="J240" s="9">
        <v>50.78</v>
      </c>
      <c r="K240" s="9">
        <v>4001</v>
      </c>
      <c r="L240" s="9"/>
      <c r="M240" s="9"/>
      <c r="N240" s="9"/>
      <c r="O240" s="9"/>
      <c r="P240" s="9"/>
      <c r="Q240" s="9">
        <v>467.25</v>
      </c>
      <c r="R240" s="9">
        <v>677.5</v>
      </c>
      <c r="S240" s="9">
        <v>1.6875</v>
      </c>
      <c r="T240" s="9">
        <v>2.1364999999999998</v>
      </c>
      <c r="U240" s="10">
        <v>608.25</v>
      </c>
      <c r="V240">
        <v>57.86</v>
      </c>
    </row>
    <row r="241" spans="1:22" x14ac:dyDescent="0.25">
      <c r="A241" s="11"/>
      <c r="B241" s="12"/>
      <c r="C241" s="18">
        <v>45985</v>
      </c>
      <c r="D241" s="9">
        <v>580</v>
      </c>
      <c r="E241" s="9">
        <v>579</v>
      </c>
      <c r="F241" s="9">
        <v>6.3150000000000004</v>
      </c>
      <c r="G241" s="9">
        <v>460</v>
      </c>
      <c r="H241" s="9">
        <v>1125.5</v>
      </c>
      <c r="I241" s="9">
        <v>337.7</v>
      </c>
      <c r="J241" s="9">
        <v>50.78</v>
      </c>
      <c r="K241" s="9">
        <v>4038</v>
      </c>
      <c r="L241" s="9"/>
      <c r="M241" s="9"/>
      <c r="N241" s="9"/>
      <c r="O241" s="9"/>
      <c r="P241" s="9"/>
      <c r="Q241" s="9">
        <v>465</v>
      </c>
      <c r="R241" s="9">
        <v>673.9</v>
      </c>
      <c r="S241" s="9">
        <v>1.6850000000000001</v>
      </c>
      <c r="T241" s="9">
        <v>2.1541000000000001</v>
      </c>
      <c r="U241" s="10">
        <v>615</v>
      </c>
      <c r="V241">
        <v>58.35</v>
      </c>
    </row>
    <row r="242" spans="1:22" x14ac:dyDescent="0.25">
      <c r="A242" s="8"/>
      <c r="B242" s="9"/>
      <c r="C242" s="18">
        <v>45982</v>
      </c>
      <c r="D242" s="9">
        <v>584.5</v>
      </c>
      <c r="E242" s="9">
        <v>582.75</v>
      </c>
      <c r="F242" s="9">
        <v>6.31</v>
      </c>
      <c r="G242" s="9">
        <v>460</v>
      </c>
      <c r="H242" s="9">
        <v>1121.25</v>
      </c>
      <c r="I242" s="9">
        <v>336.1</v>
      </c>
      <c r="J242" s="9">
        <v>50.76</v>
      </c>
      <c r="K242" s="9">
        <v>4055</v>
      </c>
      <c r="L242" s="9"/>
      <c r="M242" s="9"/>
      <c r="N242" s="9"/>
      <c r="O242" s="9"/>
      <c r="P242" s="9"/>
      <c r="Q242" s="9">
        <v>465.25</v>
      </c>
      <c r="R242" s="9">
        <v>671.6</v>
      </c>
      <c r="S242" s="9">
        <v>1.6825000000000001</v>
      </c>
      <c r="T242" s="9">
        <v>2.1562000000000001</v>
      </c>
      <c r="U242" s="10">
        <v>616.75</v>
      </c>
      <c r="V242">
        <v>57.75</v>
      </c>
    </row>
    <row r="243" spans="1:22" x14ac:dyDescent="0.25">
      <c r="A243" s="11"/>
      <c r="B243" s="12"/>
      <c r="C243" s="18">
        <v>45981</v>
      </c>
      <c r="D243" s="9">
        <v>586</v>
      </c>
      <c r="E243" s="9">
        <v>581.5</v>
      </c>
      <c r="F243" s="9">
        <v>6.3425000000000002</v>
      </c>
      <c r="G243" s="9">
        <v>461</v>
      </c>
      <c r="H243" s="9">
        <v>1123.25</v>
      </c>
      <c r="I243" s="9">
        <v>335.1</v>
      </c>
      <c r="J243" s="9">
        <v>51.12</v>
      </c>
      <c r="K243" s="9">
        <v>4121</v>
      </c>
      <c r="L243" s="9"/>
      <c r="M243" s="9"/>
      <c r="N243" s="9"/>
      <c r="O243" s="9"/>
      <c r="P243" s="9"/>
      <c r="Q243" s="9">
        <v>469</v>
      </c>
      <c r="R243" s="9">
        <v>672.5</v>
      </c>
      <c r="S243" s="9">
        <v>1.67</v>
      </c>
      <c r="T243" s="9">
        <v>2.1718000000000002</v>
      </c>
      <c r="U243" s="10">
        <v>624.5</v>
      </c>
      <c r="V243">
        <v>58.25</v>
      </c>
    </row>
    <row r="244" spans="1:22" x14ac:dyDescent="0.25">
      <c r="A244" s="8"/>
      <c r="B244" s="9"/>
      <c r="C244" s="18">
        <v>45980</v>
      </c>
      <c r="D244" s="9">
        <v>594.5</v>
      </c>
      <c r="E244" s="9">
        <v>590.75</v>
      </c>
      <c r="F244" s="9">
        <v>6.3849999999999998</v>
      </c>
      <c r="G244" s="9">
        <v>462.75</v>
      </c>
      <c r="H244" s="9">
        <v>1128</v>
      </c>
      <c r="I244" s="9">
        <v>336.8</v>
      </c>
      <c r="J244" s="9">
        <v>51.56</v>
      </c>
      <c r="K244" s="9">
        <v>4176</v>
      </c>
      <c r="L244" s="9"/>
      <c r="M244" s="9"/>
      <c r="N244" s="9"/>
      <c r="O244" s="9"/>
      <c r="P244" s="9"/>
      <c r="Q244" s="9">
        <v>469</v>
      </c>
      <c r="R244" s="9">
        <v>672.3</v>
      </c>
      <c r="S244" s="9">
        <v>1.6525000000000001</v>
      </c>
      <c r="T244" s="9">
        <v>2.1911</v>
      </c>
      <c r="U244" s="10">
        <v>627.75</v>
      </c>
      <c r="V244">
        <v>58.44</v>
      </c>
    </row>
    <row r="245" spans="1:22" x14ac:dyDescent="0.25">
      <c r="A245" s="11"/>
      <c r="B245" s="12"/>
      <c r="C245" s="18">
        <v>45979</v>
      </c>
      <c r="D245" s="9">
        <v>605.75</v>
      </c>
      <c r="E245" s="9">
        <v>601.5</v>
      </c>
      <c r="F245" s="9">
        <v>6.38</v>
      </c>
      <c r="G245" s="9">
        <v>469.25</v>
      </c>
      <c r="H245" s="9">
        <v>1135</v>
      </c>
      <c r="I245" s="9">
        <v>337.4</v>
      </c>
      <c r="J245" s="9">
        <v>52.53</v>
      </c>
      <c r="K245" s="9">
        <v>4142</v>
      </c>
      <c r="L245" s="9"/>
      <c r="M245" s="9"/>
      <c r="N245" s="9"/>
      <c r="O245" s="9"/>
      <c r="P245" s="9"/>
      <c r="Q245" s="9">
        <v>473</v>
      </c>
      <c r="R245" s="9">
        <v>676.2</v>
      </c>
      <c r="S245" s="9">
        <v>1.6675</v>
      </c>
      <c r="T245" s="9">
        <v>2.2372000000000001</v>
      </c>
      <c r="U245" s="10">
        <v>635.25</v>
      </c>
      <c r="V245">
        <v>59.74</v>
      </c>
    </row>
    <row r="246" spans="1:22" x14ac:dyDescent="0.25">
      <c r="A246" s="8"/>
      <c r="B246" s="9"/>
      <c r="C246" s="18">
        <v>45978</v>
      </c>
      <c r="D246" s="9">
        <v>607</v>
      </c>
      <c r="E246" s="9">
        <v>602.25</v>
      </c>
      <c r="F246" s="9">
        <v>6.3574999999999999</v>
      </c>
      <c r="G246" s="9">
        <v>469.75</v>
      </c>
      <c r="H246" s="9">
        <v>1137</v>
      </c>
      <c r="I246" s="9">
        <v>341.6</v>
      </c>
      <c r="J246" s="9">
        <v>51.66</v>
      </c>
      <c r="K246" s="9">
        <v>4097</v>
      </c>
      <c r="L246" s="9"/>
      <c r="M246" s="9"/>
      <c r="N246" s="9"/>
      <c r="O246" s="9"/>
      <c r="P246" s="9"/>
      <c r="Q246" s="9">
        <v>473.25</v>
      </c>
      <c r="R246" s="9">
        <v>675.4</v>
      </c>
      <c r="S246" s="9">
        <v>1.6850000000000001</v>
      </c>
      <c r="T246" s="9">
        <v>2.2115</v>
      </c>
      <c r="U246" s="10">
        <v>634.75</v>
      </c>
      <c r="V246">
        <v>59.39</v>
      </c>
    </row>
    <row r="247" spans="1:22" x14ac:dyDescent="0.25">
      <c r="A247" s="11"/>
      <c r="B247" s="12"/>
      <c r="C247" s="18">
        <v>45975</v>
      </c>
      <c r="D247" s="9">
        <v>592.75</v>
      </c>
      <c r="E247" s="9">
        <v>590</v>
      </c>
      <c r="F247" s="9">
        <v>6.3324999999999996</v>
      </c>
      <c r="G247" s="9">
        <v>467.25</v>
      </c>
      <c r="H247" s="9">
        <v>1124</v>
      </c>
      <c r="I247" s="9">
        <v>337.9</v>
      </c>
      <c r="J247" s="9">
        <v>50.88</v>
      </c>
      <c r="K247" s="9">
        <v>4097</v>
      </c>
      <c r="L247" s="9"/>
      <c r="M247" s="9"/>
      <c r="N247" s="9"/>
      <c r="O247" s="9"/>
      <c r="P247" s="9"/>
      <c r="Q247" s="9">
        <v>469</v>
      </c>
      <c r="R247" s="9">
        <v>671.2</v>
      </c>
      <c r="S247" s="9">
        <v>1.6950000000000001</v>
      </c>
      <c r="T247" s="9">
        <v>2.2141000000000002</v>
      </c>
      <c r="U247" s="10">
        <v>637.5</v>
      </c>
      <c r="V247">
        <v>59.45</v>
      </c>
    </row>
    <row r="248" spans="1:22" x14ac:dyDescent="0.25">
      <c r="A248" s="8"/>
      <c r="B248" s="9"/>
      <c r="C248" s="18">
        <v>45974</v>
      </c>
      <c r="D248" s="9">
        <v>605.5</v>
      </c>
      <c r="E248" s="9">
        <v>602.25</v>
      </c>
      <c r="F248" s="9">
        <v>6.4</v>
      </c>
      <c r="G248" s="9">
        <v>473</v>
      </c>
      <c r="H248" s="9">
        <v>1129.75</v>
      </c>
      <c r="I248" s="9">
        <v>339.6</v>
      </c>
      <c r="J248" s="9">
        <v>50.92</v>
      </c>
      <c r="K248" s="9">
        <v>4109</v>
      </c>
      <c r="L248" s="9"/>
      <c r="M248" s="9"/>
      <c r="N248" s="9"/>
      <c r="O248" s="9"/>
      <c r="P248" s="9"/>
      <c r="Q248" s="9">
        <v>470.5</v>
      </c>
      <c r="R248" s="9">
        <v>674.7</v>
      </c>
      <c r="S248" s="9">
        <v>1.7124999999999999</v>
      </c>
      <c r="T248" s="9">
        <v>2.1905000000000001</v>
      </c>
      <c r="U248" s="10">
        <v>631</v>
      </c>
      <c r="V248">
        <v>58.68</v>
      </c>
    </row>
    <row r="249" spans="1:22" x14ac:dyDescent="0.25">
      <c r="A249" s="11"/>
      <c r="B249" s="12"/>
      <c r="C249" s="18">
        <v>45973</v>
      </c>
      <c r="D249" s="9">
        <v>605.25</v>
      </c>
      <c r="E249" s="9">
        <v>601.25</v>
      </c>
      <c r="F249" s="9">
        <v>6.43</v>
      </c>
      <c r="G249" s="9">
        <v>470</v>
      </c>
      <c r="H249" s="9">
        <v>1124.25</v>
      </c>
      <c r="I249" s="9">
        <v>335</v>
      </c>
      <c r="J249" s="9">
        <v>51.23</v>
      </c>
      <c r="K249" s="9">
        <v>4103</v>
      </c>
      <c r="L249" s="9"/>
      <c r="M249" s="9"/>
      <c r="N249" s="9"/>
      <c r="O249" s="9"/>
      <c r="P249" s="9"/>
      <c r="Q249" s="9">
        <v>468.75</v>
      </c>
      <c r="R249" s="9">
        <v>675.5</v>
      </c>
      <c r="S249" s="9">
        <v>1.7075</v>
      </c>
      <c r="T249" s="9">
        <v>2.2008000000000001</v>
      </c>
      <c r="U249" s="10">
        <v>631.5</v>
      </c>
      <c r="V249">
        <v>58.71</v>
      </c>
    </row>
    <row r="250" spans="1:22" x14ac:dyDescent="0.25">
      <c r="A250" s="8"/>
      <c r="B250" s="9"/>
      <c r="C250" s="18">
        <v>45972</v>
      </c>
      <c r="D250" s="9">
        <v>602.25</v>
      </c>
      <c r="E250" s="9">
        <v>598.25</v>
      </c>
      <c r="F250" s="9">
        <v>6.4074999999999998</v>
      </c>
      <c r="G250" s="9">
        <v>470</v>
      </c>
      <c r="H250" s="9">
        <v>1120.75</v>
      </c>
      <c r="I250" s="9">
        <v>330.7</v>
      </c>
      <c r="J250" s="9">
        <v>51.61</v>
      </c>
      <c r="K250" s="9">
        <v>4121</v>
      </c>
      <c r="L250" s="9"/>
      <c r="M250" s="9"/>
      <c r="N250" s="9"/>
      <c r="O250" s="9"/>
      <c r="P250" s="9"/>
      <c r="Q250" s="9">
        <v>470.5</v>
      </c>
      <c r="R250" s="9"/>
      <c r="S250" s="9">
        <v>1.7075</v>
      </c>
      <c r="T250" s="9">
        <v>2.2507999999999999</v>
      </c>
      <c r="U250" s="10">
        <v>644.25</v>
      </c>
      <c r="V250">
        <v>60.69</v>
      </c>
    </row>
    <row r="251" spans="1:22" x14ac:dyDescent="0.25">
      <c r="A251" s="11"/>
      <c r="B251" s="12"/>
      <c r="C251" s="18">
        <v>45971</v>
      </c>
      <c r="D251" s="9">
        <v>598</v>
      </c>
      <c r="E251" s="9">
        <v>595.5</v>
      </c>
      <c r="F251" s="9">
        <v>6.375</v>
      </c>
      <c r="G251" s="9">
        <v>467.75</v>
      </c>
      <c r="H251" s="9">
        <v>1119.5</v>
      </c>
      <c r="I251" s="9">
        <v>332.6</v>
      </c>
      <c r="J251" s="9">
        <v>51.18</v>
      </c>
      <c r="K251" s="9">
        <v>4110</v>
      </c>
      <c r="L251" s="9"/>
      <c r="M251" s="9"/>
      <c r="N251" s="9"/>
      <c r="O251" s="9"/>
      <c r="P251" s="9"/>
      <c r="Q251" s="9">
        <v>470.25</v>
      </c>
      <c r="R251" s="9">
        <v>676.1</v>
      </c>
      <c r="S251" s="9">
        <v>1.7</v>
      </c>
      <c r="T251" s="9">
        <v>2.2229000000000001</v>
      </c>
      <c r="U251" s="10">
        <v>633.25</v>
      </c>
      <c r="V251">
        <v>59.99</v>
      </c>
    </row>
    <row r="252" spans="1:22" x14ac:dyDescent="0.25">
      <c r="A252" s="5"/>
      <c r="B252" s="6"/>
      <c r="C252" s="18">
        <v>45968</v>
      </c>
      <c r="D252" s="9">
        <v>589.75</v>
      </c>
      <c r="E252" s="9">
        <v>586.5</v>
      </c>
      <c r="F252" s="9">
        <v>6.31</v>
      </c>
      <c r="G252" s="9">
        <v>464</v>
      </c>
      <c r="H252" s="9">
        <v>1110</v>
      </c>
      <c r="I252" s="9">
        <v>332</v>
      </c>
      <c r="J252" s="9">
        <v>50.26</v>
      </c>
      <c r="K252" s="9">
        <v>4122</v>
      </c>
      <c r="L252" s="9"/>
      <c r="M252" s="9"/>
      <c r="N252" s="9"/>
      <c r="O252" s="9"/>
      <c r="P252" s="9"/>
      <c r="Q252" s="9">
        <v>470.5</v>
      </c>
      <c r="R252" s="9">
        <v>673.3</v>
      </c>
      <c r="S252" s="9">
        <v>1.6924999999999999</v>
      </c>
      <c r="T252" s="9">
        <v>2.2121</v>
      </c>
      <c r="U252" s="10">
        <v>634.5</v>
      </c>
      <c r="V252">
        <v>59.77</v>
      </c>
    </row>
    <row r="253" spans="1:22" x14ac:dyDescent="0.25">
      <c r="C253" s="19">
        <v>45967</v>
      </c>
      <c r="D253" s="6">
        <v>596.5</v>
      </c>
      <c r="E253" s="6">
        <v>591.75</v>
      </c>
      <c r="F253" s="6">
        <v>6.3049999999999997</v>
      </c>
      <c r="G253" s="6">
        <v>465</v>
      </c>
      <c r="H253" s="6">
        <v>1105.75</v>
      </c>
      <c r="I253" s="6">
        <v>331.3</v>
      </c>
      <c r="J253" s="6">
        <v>49.82</v>
      </c>
      <c r="K253" s="6">
        <v>4159</v>
      </c>
      <c r="L253" s="6"/>
      <c r="M253" s="6"/>
      <c r="N253" s="6"/>
      <c r="O253" s="6"/>
      <c r="P253" s="6"/>
      <c r="Q253" s="6">
        <v>466.25</v>
      </c>
      <c r="R253" s="6">
        <v>668.1</v>
      </c>
      <c r="S253" s="6">
        <v>1.7</v>
      </c>
      <c r="T253" s="6">
        <v>2.2061000000000002</v>
      </c>
      <c r="U253" s="7">
        <v>632.75</v>
      </c>
      <c r="V253">
        <v>59.49</v>
      </c>
    </row>
    <row r="254" spans="1:22" x14ac:dyDescent="0.25">
      <c r="C254" s="2">
        <v>45966</v>
      </c>
      <c r="D254">
        <v>610.5</v>
      </c>
      <c r="E254">
        <v>605</v>
      </c>
      <c r="F254">
        <v>6.3274999999999997</v>
      </c>
      <c r="G254">
        <v>468.75</v>
      </c>
      <c r="H254">
        <v>1120.5</v>
      </c>
      <c r="I254">
        <v>335.6</v>
      </c>
      <c r="J254">
        <v>50.12</v>
      </c>
      <c r="K254">
        <v>4134</v>
      </c>
      <c r="Q254">
        <v>469.5</v>
      </c>
      <c r="R254">
        <v>670.6</v>
      </c>
      <c r="S254">
        <v>1.71</v>
      </c>
      <c r="T254">
        <v>2.1947000000000001</v>
      </c>
      <c r="U254">
        <v>638</v>
      </c>
      <c r="V254">
        <v>59.57</v>
      </c>
    </row>
    <row r="255" spans="1:22" x14ac:dyDescent="0.25">
      <c r="C255" s="2">
        <v>45965</v>
      </c>
      <c r="D255">
        <v>608.75</v>
      </c>
      <c r="E255">
        <v>601.5</v>
      </c>
      <c r="F255">
        <v>6.3449999999999998</v>
      </c>
      <c r="G255">
        <v>465.75</v>
      </c>
      <c r="H255">
        <v>1112.25</v>
      </c>
      <c r="I255">
        <v>330.4</v>
      </c>
      <c r="J255">
        <v>50.12</v>
      </c>
      <c r="K255">
        <v>4148</v>
      </c>
      <c r="Q255">
        <v>468.75</v>
      </c>
      <c r="R255">
        <v>671.6</v>
      </c>
      <c r="S255">
        <v>1.7050000000000001</v>
      </c>
      <c r="T255">
        <v>2.2176</v>
      </c>
      <c r="U255">
        <v>637.25</v>
      </c>
      <c r="V255">
        <v>60.15</v>
      </c>
    </row>
    <row r="256" spans="1:22" x14ac:dyDescent="0.25">
      <c r="C256" s="2">
        <v>45964</v>
      </c>
      <c r="D256">
        <v>607</v>
      </c>
      <c r="E256">
        <v>602.5</v>
      </c>
      <c r="F256">
        <v>6.3775000000000004</v>
      </c>
      <c r="G256">
        <v>467.75</v>
      </c>
      <c r="H256">
        <v>1122.25</v>
      </c>
      <c r="I256">
        <v>335</v>
      </c>
      <c r="J256">
        <v>50.36</v>
      </c>
      <c r="K256">
        <v>4112</v>
      </c>
      <c r="Q256">
        <v>468.25</v>
      </c>
      <c r="R256">
        <v>677.9</v>
      </c>
      <c r="S256">
        <v>1.7075</v>
      </c>
      <c r="T256">
        <v>2.2105999999999999</v>
      </c>
      <c r="U256">
        <v>639.25</v>
      </c>
      <c r="V256">
        <v>60.32</v>
      </c>
    </row>
    <row r="257" spans="3:22" x14ac:dyDescent="0.25">
      <c r="C257" s="2">
        <v>45961</v>
      </c>
      <c r="D257">
        <v>597</v>
      </c>
      <c r="E257">
        <v>589.5</v>
      </c>
      <c r="F257">
        <v>6.35</v>
      </c>
      <c r="G257">
        <v>463.5</v>
      </c>
      <c r="H257">
        <v>1114.5</v>
      </c>
      <c r="I257">
        <v>335</v>
      </c>
      <c r="J257">
        <v>49.29</v>
      </c>
      <c r="K257">
        <v>4134</v>
      </c>
      <c r="Q257">
        <v>469.5</v>
      </c>
      <c r="R257">
        <v>668.5</v>
      </c>
      <c r="S257">
        <v>1.7075</v>
      </c>
      <c r="T257">
        <v>2.2040999999999999</v>
      </c>
      <c r="U257">
        <v>632</v>
      </c>
      <c r="V257">
        <v>60.05</v>
      </c>
    </row>
    <row r="258" spans="3:22" x14ac:dyDescent="0.25">
      <c r="C258" s="2">
        <v>45960</v>
      </c>
      <c r="D258">
        <v>595.5</v>
      </c>
      <c r="E258">
        <v>589</v>
      </c>
      <c r="F258">
        <v>6.33</v>
      </c>
      <c r="G258">
        <v>464.5</v>
      </c>
      <c r="H258">
        <v>1105</v>
      </c>
      <c r="I258">
        <v>329.6</v>
      </c>
      <c r="J258">
        <v>50.01</v>
      </c>
      <c r="K258">
        <v>4162</v>
      </c>
      <c r="Q258">
        <v>472</v>
      </c>
      <c r="R258">
        <v>678</v>
      </c>
      <c r="S258">
        <v>1.7175</v>
      </c>
      <c r="T258">
        <v>2.2092000000000001</v>
      </c>
      <c r="U258">
        <v>633.75</v>
      </c>
      <c r="V258">
        <v>60.03</v>
      </c>
    </row>
    <row r="259" spans="3:22" x14ac:dyDescent="0.25">
      <c r="C259" s="2">
        <v>45959</v>
      </c>
      <c r="D259">
        <v>597.5</v>
      </c>
      <c r="E259">
        <v>596.25</v>
      </c>
      <c r="F259">
        <v>6.3975</v>
      </c>
      <c r="G259">
        <v>464.75</v>
      </c>
      <c r="H259">
        <v>1108</v>
      </c>
      <c r="I259">
        <v>326.39999999999998</v>
      </c>
      <c r="J259">
        <v>50.28</v>
      </c>
      <c r="K259">
        <v>4153</v>
      </c>
      <c r="Q259">
        <v>469.5</v>
      </c>
      <c r="R259">
        <v>675.7</v>
      </c>
      <c r="S259">
        <v>1.7024999999999999</v>
      </c>
      <c r="T259">
        <v>2.2052999999999998</v>
      </c>
      <c r="U259">
        <v>633.5</v>
      </c>
      <c r="V259">
        <v>60.01</v>
      </c>
    </row>
    <row r="260" spans="3:22" x14ac:dyDescent="0.25">
      <c r="C260" s="2">
        <v>45958</v>
      </c>
      <c r="D260">
        <v>600.25</v>
      </c>
      <c r="E260">
        <v>599.5</v>
      </c>
      <c r="F260">
        <v>6.45</v>
      </c>
      <c r="G260">
        <v>466.5</v>
      </c>
      <c r="H260">
        <v>1112.75</v>
      </c>
      <c r="I260">
        <v>325.10000000000002</v>
      </c>
      <c r="J260">
        <v>50.48</v>
      </c>
      <c r="K260">
        <v>4210</v>
      </c>
      <c r="Q260">
        <v>470.75</v>
      </c>
      <c r="R260">
        <v>676.9</v>
      </c>
      <c r="S260">
        <v>1.7075</v>
      </c>
      <c r="T260">
        <v>2.1886000000000001</v>
      </c>
      <c r="U260">
        <v>628.75</v>
      </c>
      <c r="V260">
        <v>59.69</v>
      </c>
    </row>
    <row r="261" spans="3:22" x14ac:dyDescent="0.25">
      <c r="C261" s="2">
        <v>45957</v>
      </c>
      <c r="D261">
        <v>595</v>
      </c>
      <c r="E261">
        <v>592.75</v>
      </c>
      <c r="F261">
        <v>6.4325000000000001</v>
      </c>
      <c r="G261">
        <v>466</v>
      </c>
      <c r="H261">
        <v>1104</v>
      </c>
      <c r="I261">
        <v>318.10000000000002</v>
      </c>
      <c r="J261">
        <v>50.96</v>
      </c>
      <c r="K261">
        <v>4243</v>
      </c>
      <c r="Q261">
        <v>472</v>
      </c>
      <c r="R261">
        <v>671.9</v>
      </c>
      <c r="S261">
        <v>1.6950000000000001</v>
      </c>
      <c r="T261">
        <v>2.2075999999999998</v>
      </c>
      <c r="U261">
        <v>636.25</v>
      </c>
      <c r="V261">
        <v>59.91</v>
      </c>
    </row>
    <row r="262" spans="3:22" x14ac:dyDescent="0.25">
      <c r="C262" s="2">
        <v>45954</v>
      </c>
      <c r="D262">
        <v>580.5</v>
      </c>
      <c r="E262">
        <v>577.75</v>
      </c>
      <c r="F262">
        <v>6.37</v>
      </c>
      <c r="G262">
        <v>459.5</v>
      </c>
      <c r="H262">
        <v>1090.75</v>
      </c>
      <c r="I262">
        <v>311.7</v>
      </c>
      <c r="J262">
        <v>50.43</v>
      </c>
      <c r="K262">
        <v>4288</v>
      </c>
      <c r="Q262">
        <v>470</v>
      </c>
      <c r="R262">
        <v>674.9</v>
      </c>
      <c r="S262">
        <v>1.68</v>
      </c>
      <c r="T262">
        <v>2.2081</v>
      </c>
      <c r="U262">
        <v>636</v>
      </c>
      <c r="V262">
        <v>59.85</v>
      </c>
    </row>
    <row r="263" spans="3:22" x14ac:dyDescent="0.25">
      <c r="C263" s="2">
        <v>45953</v>
      </c>
      <c r="D263">
        <v>580</v>
      </c>
      <c r="E263">
        <v>576.5</v>
      </c>
      <c r="F263">
        <v>6.3949999999999996</v>
      </c>
      <c r="G263">
        <v>461</v>
      </c>
      <c r="H263">
        <v>1090.5</v>
      </c>
      <c r="I263">
        <v>307.7</v>
      </c>
      <c r="J263">
        <v>50.89</v>
      </c>
      <c r="K263">
        <v>4325</v>
      </c>
      <c r="Q263">
        <v>472.5</v>
      </c>
      <c r="R263">
        <v>675.9</v>
      </c>
      <c r="S263">
        <v>1.69</v>
      </c>
      <c r="T263">
        <v>2.2031000000000001</v>
      </c>
      <c r="U263">
        <v>633.25</v>
      </c>
      <c r="V263">
        <v>59.76</v>
      </c>
    </row>
  </sheetData>
  <pageMargins left="0.7" right="0.7" top="0.75" bottom="0.75" header="0.3" footer="0.3"/>
  <customProperties>
    <customPr name="REFI_OFFICE_FUNCTION_DATA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A9C79-13E0-43B1-862C-FEACCB406ECB}">
  <sheetPr codeName="Sheet3"/>
  <dimension ref="A1:AG264"/>
  <sheetViews>
    <sheetView zoomScaleNormal="100" workbookViewId="0">
      <selection activeCell="M17" sqref="M17"/>
    </sheetView>
  </sheetViews>
  <sheetFormatPr defaultRowHeight="15" x14ac:dyDescent="0.25"/>
  <cols>
    <col min="2" max="2" width="24" bestFit="1" customWidth="1"/>
    <col min="3" max="3" width="10.5703125" bestFit="1" customWidth="1"/>
    <col min="4" max="11" width="10.42578125" customWidth="1"/>
    <col min="12" max="21" width="11.42578125" customWidth="1"/>
  </cols>
  <sheetData>
    <row r="1" spans="1:33" x14ac:dyDescent="0.25">
      <c r="A1">
        <v>260</v>
      </c>
      <c r="C1" s="15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7"/>
    </row>
    <row r="2" spans="1:33" x14ac:dyDescent="0.25">
      <c r="A2" s="8"/>
      <c r="B2" s="9" t="str">
        <f>_xll.RHistory(B5:B35,".Timestamp;.Close","NBROWS:"&amp;$A$1&amp;" INTERVAL:1D",,"TSREPEAT:NO CH:Fd",C4)</f>
        <v>Updated at 17:18:37</v>
      </c>
      <c r="C2" s="21" t="s">
        <v>336</v>
      </c>
      <c r="D2" s="22" t="s">
        <v>337</v>
      </c>
      <c r="E2" s="22" t="s">
        <v>338</v>
      </c>
      <c r="F2" s="22" t="s">
        <v>339</v>
      </c>
      <c r="G2" s="22" t="s">
        <v>340</v>
      </c>
      <c r="H2" s="22" t="s">
        <v>341</v>
      </c>
      <c r="I2" s="22" t="s">
        <v>342</v>
      </c>
      <c r="J2" s="22" t="s">
        <v>343</v>
      </c>
      <c r="K2" s="22" t="s">
        <v>344</v>
      </c>
      <c r="L2" s="22" t="s">
        <v>345</v>
      </c>
      <c r="M2" s="22" t="s">
        <v>346</v>
      </c>
      <c r="N2" s="22" t="s">
        <v>347</v>
      </c>
      <c r="O2" s="22" t="s">
        <v>348</v>
      </c>
      <c r="P2" s="22" t="s">
        <v>349</v>
      </c>
      <c r="Q2" s="22" t="s">
        <v>350</v>
      </c>
      <c r="R2" s="22" t="s">
        <v>351</v>
      </c>
      <c r="S2" s="22" t="s">
        <v>352</v>
      </c>
      <c r="T2" s="22" t="s">
        <v>353</v>
      </c>
      <c r="U2" s="23" t="s">
        <v>354</v>
      </c>
      <c r="V2" s="48" t="s">
        <v>405</v>
      </c>
      <c r="W2" s="48" t="s">
        <v>518</v>
      </c>
      <c r="X2" s="48" t="s">
        <v>619</v>
      </c>
      <c r="Y2" s="1"/>
      <c r="Z2" s="1"/>
      <c r="AA2" s="1"/>
      <c r="AB2" s="1"/>
      <c r="AC2" s="1"/>
      <c r="AD2" s="1"/>
      <c r="AE2" s="1"/>
      <c r="AF2" s="1"/>
      <c r="AG2" s="1"/>
    </row>
    <row r="3" spans="1:33" x14ac:dyDescent="0.25">
      <c r="A3" s="11"/>
      <c r="B3" s="12"/>
      <c r="C3" s="8"/>
      <c r="D3" s="9" t="s">
        <v>355</v>
      </c>
      <c r="E3" s="9" t="s">
        <v>356</v>
      </c>
      <c r="F3" s="9" t="s">
        <v>357</v>
      </c>
      <c r="G3" s="9" t="s">
        <v>358</v>
      </c>
      <c r="H3" s="9" t="s">
        <v>9</v>
      </c>
      <c r="I3" s="9" t="s">
        <v>359</v>
      </c>
      <c r="J3" s="9" t="s">
        <v>360</v>
      </c>
      <c r="K3" s="9" t="s">
        <v>20</v>
      </c>
      <c r="L3" s="9" t="s">
        <v>369</v>
      </c>
      <c r="M3" s="9" t="s">
        <v>86</v>
      </c>
      <c r="N3" s="9" t="s">
        <v>88</v>
      </c>
      <c r="O3" s="9" t="s">
        <v>90</v>
      </c>
      <c r="P3" s="9" t="s">
        <v>92</v>
      </c>
      <c r="Q3" s="9" t="s">
        <v>361</v>
      </c>
      <c r="R3" s="9" t="s">
        <v>101</v>
      </c>
      <c r="S3" s="9" t="s">
        <v>108</v>
      </c>
      <c r="T3" s="9" t="s">
        <v>362</v>
      </c>
      <c r="U3" s="10" t="s">
        <v>161</v>
      </c>
      <c r="V3" t="s">
        <v>225</v>
      </c>
      <c r="W3" t="s">
        <v>542</v>
      </c>
      <c r="X3" t="s">
        <v>479</v>
      </c>
    </row>
    <row r="4" spans="1:33" x14ac:dyDescent="0.25">
      <c r="A4" s="8"/>
      <c r="B4" s="9"/>
      <c r="C4" s="20" t="s">
        <v>471</v>
      </c>
      <c r="D4" s="13" t="s">
        <v>472</v>
      </c>
      <c r="E4" s="13" t="s">
        <v>472</v>
      </c>
      <c r="F4" s="13" t="s">
        <v>472</v>
      </c>
      <c r="G4" s="13" t="s">
        <v>472</v>
      </c>
      <c r="H4" s="13" t="s">
        <v>472</v>
      </c>
      <c r="I4" s="13" t="s">
        <v>472</v>
      </c>
      <c r="J4" s="13" t="s">
        <v>472</v>
      </c>
      <c r="K4" s="13" t="s">
        <v>472</v>
      </c>
      <c r="L4" s="13" t="s">
        <v>472</v>
      </c>
      <c r="M4" s="13" t="s">
        <v>472</v>
      </c>
      <c r="N4" s="13" t="s">
        <v>472</v>
      </c>
      <c r="O4" s="13" t="s">
        <v>472</v>
      </c>
      <c r="P4" s="13" t="s">
        <v>472</v>
      </c>
      <c r="Q4" s="13" t="s">
        <v>472</v>
      </c>
      <c r="R4" s="13" t="s">
        <v>472</v>
      </c>
      <c r="S4" s="13" t="s">
        <v>472</v>
      </c>
      <c r="T4" s="13" t="s">
        <v>472</v>
      </c>
      <c r="U4" s="14" t="s">
        <v>472</v>
      </c>
      <c r="V4" s="1" t="s">
        <v>472</v>
      </c>
      <c r="W4" s="1" t="s">
        <v>472</v>
      </c>
      <c r="X4" s="1" t="s">
        <v>472</v>
      </c>
    </row>
    <row r="5" spans="1:33" x14ac:dyDescent="0.25">
      <c r="A5" s="11"/>
      <c r="B5" s="12" t="str">
        <f>Instrument!B1</f>
        <v>/WZ26</v>
      </c>
      <c r="C5" s="18">
        <v>46318</v>
      </c>
      <c r="D5" s="9">
        <v>626.75</v>
      </c>
      <c r="E5" s="9">
        <v>666.75</v>
      </c>
      <c r="F5" s="9">
        <v>6.4725000000000001</v>
      </c>
      <c r="G5" s="9">
        <v>459</v>
      </c>
      <c r="H5" s="9">
        <v>1265.25</v>
      </c>
      <c r="I5" s="9">
        <v>347.9</v>
      </c>
      <c r="J5" s="9">
        <v>66.75</v>
      </c>
      <c r="K5" s="9">
        <v>4827</v>
      </c>
      <c r="L5" s="9">
        <v>9567</v>
      </c>
      <c r="M5" s="9">
        <v>3272</v>
      </c>
      <c r="N5" s="9">
        <v>9080</v>
      </c>
      <c r="O5" s="9">
        <v>2251</v>
      </c>
      <c r="P5" s="9">
        <v>10337</v>
      </c>
      <c r="Q5" s="9">
        <v>549</v>
      </c>
      <c r="R5" s="9">
        <v>792.1</v>
      </c>
      <c r="S5" s="9"/>
      <c r="T5" s="9">
        <v>4.7758000000000003</v>
      </c>
      <c r="U5" s="10">
        <v>1429</v>
      </c>
      <c r="V5">
        <v>100.31</v>
      </c>
      <c r="W5">
        <v>109.23</v>
      </c>
      <c r="X5">
        <v>3.1071</v>
      </c>
    </row>
    <row r="6" spans="1:33" x14ac:dyDescent="0.25">
      <c r="A6" s="8"/>
      <c r="B6" s="9" t="str">
        <f>Instrument!E1</f>
        <v>/KWZ26</v>
      </c>
      <c r="C6" s="18">
        <v>46317</v>
      </c>
      <c r="D6" s="9">
        <v>624.75</v>
      </c>
      <c r="E6" s="9">
        <v>665.75</v>
      </c>
      <c r="F6" s="9">
        <v>6.4175000000000004</v>
      </c>
      <c r="G6" s="9">
        <v>460.5</v>
      </c>
      <c r="H6" s="9">
        <v>1264.75</v>
      </c>
      <c r="I6" s="9">
        <v>347.3</v>
      </c>
      <c r="J6" s="9">
        <v>66.739999999999995</v>
      </c>
      <c r="K6" s="9">
        <v>4792</v>
      </c>
      <c r="L6" s="9">
        <v>9579</v>
      </c>
      <c r="M6" s="9">
        <v>3240</v>
      </c>
      <c r="N6" s="9">
        <v>8943</v>
      </c>
      <c r="O6" s="9">
        <v>2254</v>
      </c>
      <c r="P6" s="9">
        <v>10212</v>
      </c>
      <c r="Q6" s="9">
        <v>547.25</v>
      </c>
      <c r="R6" s="9">
        <v>791.3</v>
      </c>
      <c r="S6" s="9">
        <v>2.0425</v>
      </c>
      <c r="T6" s="9">
        <v>4.7366000000000001</v>
      </c>
      <c r="U6" s="10">
        <v>1393.75</v>
      </c>
      <c r="V6">
        <v>99.47</v>
      </c>
      <c r="W6">
        <v>108.66</v>
      </c>
      <c r="X6">
        <v>3.0893000000000002</v>
      </c>
    </row>
    <row r="7" spans="1:33" x14ac:dyDescent="0.25">
      <c r="A7" s="11"/>
      <c r="B7" s="12" t="str">
        <f>Instrument!H1</f>
        <v>/MWEZ26</v>
      </c>
      <c r="C7" s="18">
        <v>46316</v>
      </c>
      <c r="D7" s="9">
        <v>628.25</v>
      </c>
      <c r="E7" s="9">
        <v>673</v>
      </c>
      <c r="F7" s="9">
        <v>6.5149999999999997</v>
      </c>
      <c r="G7" s="9">
        <v>463.25</v>
      </c>
      <c r="H7" s="9">
        <v>1258.25</v>
      </c>
      <c r="I7" s="9">
        <v>348.3</v>
      </c>
      <c r="J7" s="9">
        <v>65.97</v>
      </c>
      <c r="K7" s="9">
        <v>4767</v>
      </c>
      <c r="L7" s="9">
        <v>9614</v>
      </c>
      <c r="M7" s="9">
        <v>3263</v>
      </c>
      <c r="N7" s="9">
        <v>8917</v>
      </c>
      <c r="O7" s="9">
        <v>2268</v>
      </c>
      <c r="P7" s="9">
        <v>10231</v>
      </c>
      <c r="Q7" s="9">
        <v>540.25</v>
      </c>
      <c r="R7" s="9">
        <v>785.5</v>
      </c>
      <c r="S7" s="9">
        <v>2.06</v>
      </c>
      <c r="T7" s="9">
        <v>4.5772000000000004</v>
      </c>
      <c r="U7" s="10">
        <v>1379.25</v>
      </c>
      <c r="V7">
        <v>97.15</v>
      </c>
      <c r="W7">
        <v>105.07</v>
      </c>
      <c r="X7">
        <v>3.0390000000000001</v>
      </c>
    </row>
    <row r="8" spans="1:33" x14ac:dyDescent="0.25">
      <c r="A8" s="8"/>
      <c r="B8" s="9" t="str">
        <f>Instrument!K1</f>
        <v>/CZ26</v>
      </c>
      <c r="C8" s="18">
        <v>46315</v>
      </c>
      <c r="D8" s="9">
        <v>643.25</v>
      </c>
      <c r="E8" s="9">
        <v>691</v>
      </c>
      <c r="F8" s="9">
        <v>6.6174999999999997</v>
      </c>
      <c r="G8" s="9">
        <v>462</v>
      </c>
      <c r="H8" s="9">
        <v>1263.5</v>
      </c>
      <c r="I8" s="9">
        <v>348.7</v>
      </c>
      <c r="J8" s="9">
        <v>66.73</v>
      </c>
      <c r="K8" s="9">
        <v>4817</v>
      </c>
      <c r="L8" s="9">
        <v>9523</v>
      </c>
      <c r="M8" s="9">
        <v>3277</v>
      </c>
      <c r="N8" s="9">
        <v>8891</v>
      </c>
      <c r="O8" s="9">
        <v>2299</v>
      </c>
      <c r="P8" s="9">
        <v>10295</v>
      </c>
      <c r="Q8" s="9">
        <v>545</v>
      </c>
      <c r="R8" s="9">
        <v>793.9</v>
      </c>
      <c r="S8" s="9">
        <v>2.0699999999999998</v>
      </c>
      <c r="T8" s="9">
        <v>4.7141000000000002</v>
      </c>
      <c r="U8" s="10">
        <v>1400.5</v>
      </c>
      <c r="V8">
        <v>97.82</v>
      </c>
      <c r="W8">
        <v>105.1</v>
      </c>
      <c r="X8">
        <v>3.0440999999999998</v>
      </c>
    </row>
    <row r="9" spans="1:33" x14ac:dyDescent="0.25">
      <c r="A9" s="11"/>
      <c r="B9" s="12" t="str">
        <f>Instrument!N1</f>
        <v>/SF27</v>
      </c>
      <c r="C9" s="18">
        <v>46314</v>
      </c>
      <c r="D9" s="9">
        <v>655.25</v>
      </c>
      <c r="E9" s="9">
        <v>699.5</v>
      </c>
      <c r="F9" s="9">
        <v>6.7</v>
      </c>
      <c r="G9" s="9">
        <v>467</v>
      </c>
      <c r="H9" s="9">
        <v>1268.75</v>
      </c>
      <c r="I9" s="9">
        <v>354.8</v>
      </c>
      <c r="J9" s="9">
        <v>66.69</v>
      </c>
      <c r="K9" s="9">
        <v>4766</v>
      </c>
      <c r="L9" s="9">
        <v>9499</v>
      </c>
      <c r="M9" s="9">
        <v>3277</v>
      </c>
      <c r="N9" s="9">
        <v>8874</v>
      </c>
      <c r="O9" s="9">
        <v>2350</v>
      </c>
      <c r="P9" s="9">
        <v>10274</v>
      </c>
      <c r="Q9" s="9">
        <v>546.5</v>
      </c>
      <c r="R9" s="9">
        <v>800.2</v>
      </c>
      <c r="S9" s="9">
        <v>2.0874999999999999</v>
      </c>
      <c r="T9" s="9">
        <v>4.726</v>
      </c>
      <c r="U9" s="10">
        <v>1402.25</v>
      </c>
      <c r="V9">
        <v>98.54</v>
      </c>
      <c r="W9">
        <v>106.07</v>
      </c>
      <c r="X9">
        <v>3.1046999999999998</v>
      </c>
    </row>
    <row r="10" spans="1:33" x14ac:dyDescent="0.25">
      <c r="A10" s="8"/>
      <c r="B10" s="9" t="str">
        <f>Instrument!Q1</f>
        <v>/SMZ26</v>
      </c>
      <c r="C10" s="18">
        <v>46311</v>
      </c>
      <c r="D10" s="9">
        <v>660.5</v>
      </c>
      <c r="E10" s="9">
        <v>704</v>
      </c>
      <c r="F10" s="9">
        <v>6.7649999999999997</v>
      </c>
      <c r="G10" s="9">
        <v>474.25</v>
      </c>
      <c r="H10" s="9">
        <v>1275.75</v>
      </c>
      <c r="I10" s="9">
        <v>357.1</v>
      </c>
      <c r="J10" s="9">
        <v>67.13</v>
      </c>
      <c r="K10" s="9">
        <v>4769</v>
      </c>
      <c r="L10" s="9">
        <v>9418</v>
      </c>
      <c r="M10" s="9">
        <v>3299</v>
      </c>
      <c r="N10" s="9">
        <v>8834</v>
      </c>
      <c r="O10" s="9">
        <v>2345</v>
      </c>
      <c r="P10" s="9">
        <v>10311</v>
      </c>
      <c r="Q10" s="9">
        <v>552</v>
      </c>
      <c r="R10" s="9">
        <v>811.6</v>
      </c>
      <c r="S10" s="9">
        <v>2.1</v>
      </c>
      <c r="T10" s="9">
        <v>4.7232000000000003</v>
      </c>
      <c r="U10" s="10">
        <v>1369.5</v>
      </c>
      <c r="V10">
        <v>99.02</v>
      </c>
      <c r="W10">
        <v>106.82</v>
      </c>
      <c r="X10">
        <v>3.1442999999999999</v>
      </c>
    </row>
    <row r="11" spans="1:33" x14ac:dyDescent="0.25">
      <c r="A11" s="11"/>
      <c r="B11" s="12" t="str">
        <f>Instrument!T1</f>
        <v>/BOZ26</v>
      </c>
      <c r="C11" s="18">
        <v>46310</v>
      </c>
      <c r="D11" s="9">
        <v>670</v>
      </c>
      <c r="E11" s="9">
        <v>713</v>
      </c>
      <c r="F11" s="9">
        <v>6.86</v>
      </c>
      <c r="G11" s="9">
        <v>478</v>
      </c>
      <c r="H11" s="9">
        <v>1277.75</v>
      </c>
      <c r="I11" s="9">
        <v>359.8</v>
      </c>
      <c r="J11" s="9">
        <v>67.150000000000006</v>
      </c>
      <c r="K11" s="9">
        <v>4725</v>
      </c>
      <c r="L11" s="9">
        <v>9566</v>
      </c>
      <c r="M11" s="9">
        <v>3340</v>
      </c>
      <c r="N11" s="9">
        <v>8921</v>
      </c>
      <c r="O11" s="9">
        <v>2370</v>
      </c>
      <c r="P11" s="9">
        <v>10318</v>
      </c>
      <c r="Q11" s="9">
        <v>554.75</v>
      </c>
      <c r="R11" s="9">
        <v>813.7</v>
      </c>
      <c r="S11" s="9">
        <v>2.0950000000000002</v>
      </c>
      <c r="T11" s="9">
        <v>4.6544999999999996</v>
      </c>
      <c r="U11" s="10">
        <v>1386.75</v>
      </c>
      <c r="V11">
        <v>96.5</v>
      </c>
      <c r="W11">
        <v>103.17</v>
      </c>
      <c r="X11">
        <v>3.0798000000000001</v>
      </c>
    </row>
    <row r="12" spans="1:33" x14ac:dyDescent="0.25">
      <c r="A12" s="8"/>
      <c r="B12" s="9" t="str">
        <f>Instrument!W1</f>
        <v>/FCPOF27</v>
      </c>
      <c r="C12" s="18">
        <v>46309</v>
      </c>
      <c r="D12" s="9">
        <v>673.25</v>
      </c>
      <c r="E12" s="9">
        <v>715</v>
      </c>
      <c r="F12" s="9">
        <v>6.9</v>
      </c>
      <c r="G12" s="9">
        <v>480.75</v>
      </c>
      <c r="H12" s="9">
        <v>1292</v>
      </c>
      <c r="I12" s="9">
        <v>364.5</v>
      </c>
      <c r="J12" s="9">
        <v>67.06</v>
      </c>
      <c r="K12" s="9">
        <v>4810</v>
      </c>
      <c r="L12" s="9">
        <v>9741</v>
      </c>
      <c r="M12" s="9">
        <v>3373</v>
      </c>
      <c r="N12" s="9">
        <v>9033</v>
      </c>
      <c r="O12" s="9">
        <v>2393</v>
      </c>
      <c r="P12" s="9">
        <v>10459</v>
      </c>
      <c r="Q12" s="9">
        <v>559.25</v>
      </c>
      <c r="R12" s="9">
        <v>824.6</v>
      </c>
      <c r="S12" s="9">
        <v>2.0750000000000002</v>
      </c>
      <c r="T12" s="9">
        <v>4.7507999999999999</v>
      </c>
      <c r="U12" s="10">
        <v>1404</v>
      </c>
      <c r="V12">
        <v>93.9</v>
      </c>
      <c r="W12">
        <v>103.4</v>
      </c>
      <c r="X12">
        <v>3.1419999999999999</v>
      </c>
    </row>
    <row r="13" spans="1:33" x14ac:dyDescent="0.25">
      <c r="A13" s="11"/>
      <c r="B13" t="str">
        <f>Instrument!Z1</f>
        <v>/DCPF7</v>
      </c>
      <c r="C13" s="18">
        <v>46308</v>
      </c>
      <c r="D13" s="9">
        <v>669.25</v>
      </c>
      <c r="E13" s="9">
        <v>712.25</v>
      </c>
      <c r="F13" s="9">
        <v>6.94</v>
      </c>
      <c r="G13" s="9">
        <v>482.75</v>
      </c>
      <c r="H13" s="9">
        <v>1300</v>
      </c>
      <c r="I13" s="9">
        <v>363.2</v>
      </c>
      <c r="J13" s="9">
        <v>68.02</v>
      </c>
      <c r="K13" s="9">
        <v>4787</v>
      </c>
      <c r="L13" s="9">
        <v>9639</v>
      </c>
      <c r="M13" s="9">
        <v>3373</v>
      </c>
      <c r="N13" s="9">
        <v>8962</v>
      </c>
      <c r="O13" s="9">
        <v>2378</v>
      </c>
      <c r="P13" s="9">
        <v>10394</v>
      </c>
      <c r="Q13" s="9">
        <v>559.25</v>
      </c>
      <c r="R13" s="9">
        <v>826.6</v>
      </c>
      <c r="S13" s="9">
        <v>2.09</v>
      </c>
      <c r="T13" s="9">
        <v>4.7766000000000002</v>
      </c>
      <c r="U13" s="10">
        <v>1410.75</v>
      </c>
      <c r="V13">
        <v>93.17</v>
      </c>
      <c r="W13">
        <v>102.91</v>
      </c>
      <c r="X13">
        <v>3.1337999999999999</v>
      </c>
    </row>
    <row r="14" spans="1:33" x14ac:dyDescent="0.25">
      <c r="A14" s="8"/>
      <c r="B14" s="12" t="str">
        <f>Instrument!AC1</f>
        <v>/DSMF7</v>
      </c>
      <c r="C14" s="18">
        <v>46307</v>
      </c>
      <c r="D14" s="9">
        <v>672.25</v>
      </c>
      <c r="E14" s="9">
        <v>715.25</v>
      </c>
      <c r="F14" s="9">
        <v>6.9625000000000004</v>
      </c>
      <c r="G14" s="9">
        <v>483</v>
      </c>
      <c r="H14" s="9">
        <v>1304.75</v>
      </c>
      <c r="I14" s="9">
        <v>368.7</v>
      </c>
      <c r="J14" s="9">
        <v>68.63</v>
      </c>
      <c r="K14" s="9">
        <v>4758</v>
      </c>
      <c r="L14" s="9">
        <v>9700</v>
      </c>
      <c r="M14" s="9">
        <v>3383</v>
      </c>
      <c r="N14" s="9">
        <v>9008</v>
      </c>
      <c r="O14" s="9">
        <v>2368</v>
      </c>
      <c r="P14" s="9">
        <v>10374</v>
      </c>
      <c r="Q14" s="9">
        <v>552.25</v>
      </c>
      <c r="R14" s="9"/>
      <c r="S14" s="9">
        <v>2.11</v>
      </c>
      <c r="T14" s="9">
        <v>4.5868000000000002</v>
      </c>
      <c r="U14" s="10">
        <v>1371.25</v>
      </c>
      <c r="V14">
        <v>92.86</v>
      </c>
      <c r="W14">
        <v>103.2</v>
      </c>
      <c r="X14">
        <v>3.1705999999999999</v>
      </c>
    </row>
    <row r="15" spans="1:33" x14ac:dyDescent="0.25">
      <c r="A15" s="11"/>
      <c r="B15" s="9" t="str">
        <f>Instrument!AF1</f>
        <v>/DBYF7</v>
      </c>
      <c r="C15" s="18">
        <v>46304</v>
      </c>
      <c r="D15" s="9">
        <v>671</v>
      </c>
      <c r="E15" s="9">
        <v>719.25</v>
      </c>
      <c r="F15" s="9">
        <v>6.9524999999999997</v>
      </c>
      <c r="G15" s="9">
        <v>479.75</v>
      </c>
      <c r="H15" s="9">
        <v>1308.75</v>
      </c>
      <c r="I15" s="9">
        <v>365.6</v>
      </c>
      <c r="J15" s="9">
        <v>68.02</v>
      </c>
      <c r="K15" s="9">
        <v>4709</v>
      </c>
      <c r="L15" s="9">
        <v>9662</v>
      </c>
      <c r="M15" s="9">
        <v>3389</v>
      </c>
      <c r="N15" s="9">
        <v>8995</v>
      </c>
      <c r="O15" s="9">
        <v>2365</v>
      </c>
      <c r="P15" s="9">
        <v>10301</v>
      </c>
      <c r="Q15" s="9">
        <v>555.75</v>
      </c>
      <c r="R15" s="9">
        <v>829.8</v>
      </c>
      <c r="S15" s="9">
        <v>2.0674999999999999</v>
      </c>
      <c r="T15" s="9">
        <v>4.5884</v>
      </c>
      <c r="U15" s="10">
        <v>1376</v>
      </c>
      <c r="V15">
        <v>91.01</v>
      </c>
      <c r="W15">
        <v>101.25</v>
      </c>
      <c r="X15">
        <v>3.1534</v>
      </c>
    </row>
    <row r="16" spans="1:33" x14ac:dyDescent="0.25">
      <c r="A16" s="8"/>
      <c r="B16" s="12" t="str">
        <f>Instrument!AI1</f>
        <v>/CRSMF7</v>
      </c>
      <c r="C16" s="18">
        <v>46303</v>
      </c>
      <c r="D16" s="9">
        <v>683.25</v>
      </c>
      <c r="E16" s="9">
        <v>736.25</v>
      </c>
      <c r="F16" s="9">
        <v>7.06</v>
      </c>
      <c r="G16" s="9">
        <v>500.25</v>
      </c>
      <c r="H16" s="9">
        <v>1304.25</v>
      </c>
      <c r="I16" s="9">
        <v>357.6</v>
      </c>
      <c r="J16" s="9">
        <v>67.92</v>
      </c>
      <c r="K16" s="9">
        <v>4767</v>
      </c>
      <c r="L16" s="9">
        <v>9564</v>
      </c>
      <c r="M16" s="9">
        <v>3388</v>
      </c>
      <c r="N16" s="9">
        <v>8933</v>
      </c>
      <c r="O16" s="9">
        <v>2352</v>
      </c>
      <c r="P16" s="9">
        <v>10277</v>
      </c>
      <c r="Q16" s="9">
        <v>557.25</v>
      </c>
      <c r="R16" s="9">
        <v>828.9</v>
      </c>
      <c r="S16" s="9">
        <v>2.085</v>
      </c>
      <c r="T16" s="9">
        <v>4.7164999999999999</v>
      </c>
      <c r="U16" s="10">
        <v>1391.25</v>
      </c>
      <c r="V16">
        <v>90.75</v>
      </c>
      <c r="W16">
        <v>100.96</v>
      </c>
      <c r="X16">
        <v>3.1596000000000002</v>
      </c>
    </row>
    <row r="17" spans="1:24" x14ac:dyDescent="0.25">
      <c r="A17" s="11"/>
      <c r="B17" s="9" t="str">
        <f>Instrument!AL1</f>
        <v>/COIF7</v>
      </c>
      <c r="C17" s="18">
        <v>46302</v>
      </c>
      <c r="D17" s="9">
        <v>686.5</v>
      </c>
      <c r="E17" s="9">
        <v>738.5</v>
      </c>
      <c r="F17" s="9">
        <v>7.1025</v>
      </c>
      <c r="G17" s="9">
        <v>502</v>
      </c>
      <c r="H17" s="9">
        <v>1314.5</v>
      </c>
      <c r="I17" s="9">
        <v>365.8</v>
      </c>
      <c r="J17" s="9">
        <v>67.680000000000007</v>
      </c>
      <c r="K17" s="9">
        <v>4636</v>
      </c>
      <c r="L17" s="9"/>
      <c r="M17" s="9"/>
      <c r="N17" s="9"/>
      <c r="O17" s="9"/>
      <c r="P17" s="9"/>
      <c r="Q17" s="9">
        <v>552.75</v>
      </c>
      <c r="R17" s="9">
        <v>822.9</v>
      </c>
      <c r="S17" s="9">
        <v>2.0699999999999998</v>
      </c>
      <c r="T17" s="9">
        <v>4.4766000000000004</v>
      </c>
      <c r="U17" s="10">
        <v>1333</v>
      </c>
      <c r="V17">
        <v>87.55</v>
      </c>
      <c r="W17">
        <v>97.45</v>
      </c>
      <c r="X17">
        <v>3.0710999999999999</v>
      </c>
    </row>
    <row r="18" spans="1:24" x14ac:dyDescent="0.25">
      <c r="A18" s="8"/>
      <c r="B18" s="12" t="str">
        <f>Instrument!AO1</f>
        <v>/COMG7</v>
      </c>
      <c r="C18" s="18">
        <v>46301</v>
      </c>
      <c r="D18" s="9">
        <v>704.25</v>
      </c>
      <c r="E18" s="9">
        <v>756.25</v>
      </c>
      <c r="F18" s="9">
        <v>7.1974999999999998</v>
      </c>
      <c r="G18" s="9">
        <v>508</v>
      </c>
      <c r="H18" s="9">
        <v>1319.25</v>
      </c>
      <c r="I18" s="9">
        <v>354.8</v>
      </c>
      <c r="J18" s="9">
        <v>69.91</v>
      </c>
      <c r="K18" s="9">
        <v>4663</v>
      </c>
      <c r="L18" s="9"/>
      <c r="M18" s="9"/>
      <c r="N18" s="9"/>
      <c r="O18" s="9"/>
      <c r="P18" s="9"/>
      <c r="Q18" s="9">
        <v>561</v>
      </c>
      <c r="R18" s="9">
        <v>839</v>
      </c>
      <c r="S18" s="9">
        <v>2.08</v>
      </c>
      <c r="T18" s="9">
        <v>4.4230999999999998</v>
      </c>
      <c r="U18" s="10">
        <v>1257</v>
      </c>
      <c r="V18">
        <v>88.43</v>
      </c>
      <c r="W18">
        <v>97.59</v>
      </c>
      <c r="X18">
        <v>3.0880000000000001</v>
      </c>
    </row>
    <row r="19" spans="1:24" x14ac:dyDescent="0.25">
      <c r="A19" s="11"/>
      <c r="B19" s="9" t="str">
        <f>Instrument!AR1</f>
        <v>/RSF7</v>
      </c>
      <c r="C19" s="18">
        <v>46300</v>
      </c>
      <c r="D19" s="9">
        <v>692.25</v>
      </c>
      <c r="E19" s="9">
        <v>742.25</v>
      </c>
      <c r="F19" s="9">
        <v>7.085</v>
      </c>
      <c r="G19" s="9">
        <v>497.25</v>
      </c>
      <c r="H19" s="9">
        <v>1297.5</v>
      </c>
      <c r="I19" s="9">
        <v>347.1</v>
      </c>
      <c r="J19" s="9">
        <v>69.349999999999994</v>
      </c>
      <c r="K19" s="9">
        <v>4672</v>
      </c>
      <c r="L19" s="9"/>
      <c r="M19" s="9"/>
      <c r="N19" s="9"/>
      <c r="O19" s="9"/>
      <c r="P19" s="9"/>
      <c r="Q19" s="9">
        <v>558</v>
      </c>
      <c r="R19" s="9">
        <v>832.8</v>
      </c>
      <c r="S19" s="9">
        <v>2.0550000000000002</v>
      </c>
      <c r="T19" s="9">
        <v>4.4001000000000001</v>
      </c>
      <c r="U19" s="10">
        <v>1301.5</v>
      </c>
      <c r="V19">
        <v>88.2</v>
      </c>
      <c r="W19">
        <v>97.58</v>
      </c>
      <c r="X19">
        <v>3.0718999999999999</v>
      </c>
    </row>
    <row r="20" spans="1:24" x14ac:dyDescent="0.25">
      <c r="A20" s="8"/>
      <c r="B20" s="12" t="str">
        <f>Instrument!AU1</f>
        <v>/CUUV26</v>
      </c>
      <c r="C20" s="18">
        <v>46297</v>
      </c>
      <c r="D20" s="9">
        <v>683</v>
      </c>
      <c r="E20" s="9">
        <v>735.25</v>
      </c>
      <c r="F20" s="9">
        <v>6.98</v>
      </c>
      <c r="G20" s="9">
        <v>497.75</v>
      </c>
      <c r="H20" s="9">
        <v>1294.5</v>
      </c>
      <c r="I20" s="9">
        <v>347.5</v>
      </c>
      <c r="J20" s="9">
        <v>68.62</v>
      </c>
      <c r="K20" s="9">
        <v>4627</v>
      </c>
      <c r="L20" s="9"/>
      <c r="M20" s="9"/>
      <c r="N20" s="9"/>
      <c r="O20" s="9"/>
      <c r="P20" s="9"/>
      <c r="Q20" s="9">
        <v>555.25</v>
      </c>
      <c r="R20" s="9">
        <v>828.7</v>
      </c>
      <c r="S20" s="9">
        <v>2.1</v>
      </c>
      <c r="T20" s="9">
        <v>4.3573000000000004</v>
      </c>
      <c r="U20" s="10">
        <v>1265.5</v>
      </c>
      <c r="V20">
        <v>89.43</v>
      </c>
      <c r="W20">
        <v>98.71</v>
      </c>
      <c r="X20">
        <v>3.1118999999999999</v>
      </c>
    </row>
    <row r="21" spans="1:24" x14ac:dyDescent="0.25">
      <c r="A21" s="11"/>
      <c r="B21" s="9" t="str">
        <f>Instrument!AX1</f>
        <v>/HOZ26</v>
      </c>
      <c r="C21" s="18">
        <v>46296</v>
      </c>
      <c r="D21" s="9">
        <v>682.75</v>
      </c>
      <c r="E21" s="9">
        <v>737.5</v>
      </c>
      <c r="F21" s="9">
        <v>6.9675000000000002</v>
      </c>
      <c r="G21" s="9">
        <v>502.25</v>
      </c>
      <c r="H21" s="9">
        <v>1300.75</v>
      </c>
      <c r="I21" s="9">
        <v>353.3</v>
      </c>
      <c r="J21" s="9">
        <v>67.38</v>
      </c>
      <c r="K21" s="9">
        <v>4652</v>
      </c>
      <c r="L21" s="9"/>
      <c r="M21" s="9"/>
      <c r="N21" s="9"/>
      <c r="O21" s="9"/>
      <c r="P21" s="9"/>
      <c r="Q21" s="9">
        <v>551.75</v>
      </c>
      <c r="R21" s="9">
        <v>825.2</v>
      </c>
      <c r="S21" s="9">
        <v>2.1150000000000002</v>
      </c>
      <c r="T21" s="9">
        <v>4.4905999999999997</v>
      </c>
      <c r="U21" s="10">
        <v>1335.75</v>
      </c>
      <c r="V21">
        <v>90.84</v>
      </c>
      <c r="W21">
        <v>98.43</v>
      </c>
      <c r="X21">
        <v>3.1728999999999998</v>
      </c>
    </row>
    <row r="22" spans="1:24" x14ac:dyDescent="0.25">
      <c r="A22" s="8"/>
      <c r="B22" s="12" t="str">
        <f>Instrument!BA1</f>
        <v>/LGOZ6</v>
      </c>
      <c r="C22" s="18">
        <v>46295</v>
      </c>
      <c r="D22" s="9">
        <v>675.75</v>
      </c>
      <c r="E22" s="9">
        <v>733</v>
      </c>
      <c r="F22" s="9">
        <v>6.9325000000000001</v>
      </c>
      <c r="G22" s="9">
        <v>500.75</v>
      </c>
      <c r="H22" s="9">
        <v>1309.25</v>
      </c>
      <c r="I22" s="9">
        <v>356.9</v>
      </c>
      <c r="J22" s="9">
        <v>68.28</v>
      </c>
      <c r="K22" s="9">
        <v>4717</v>
      </c>
      <c r="L22" s="9">
        <v>9593</v>
      </c>
      <c r="M22" s="9">
        <v>3369</v>
      </c>
      <c r="N22" s="9">
        <v>8934</v>
      </c>
      <c r="O22" s="9">
        <v>2332</v>
      </c>
      <c r="P22" s="9">
        <v>10217</v>
      </c>
      <c r="Q22" s="9">
        <v>554</v>
      </c>
      <c r="R22" s="9"/>
      <c r="S22" s="9">
        <v>2.14</v>
      </c>
      <c r="T22" s="9">
        <v>4.5068000000000001</v>
      </c>
      <c r="U22" s="10">
        <v>1350.25</v>
      </c>
      <c r="V22">
        <v>88.42</v>
      </c>
      <c r="W22">
        <v>95.09</v>
      </c>
      <c r="X22">
        <v>3.0472000000000001</v>
      </c>
    </row>
    <row r="23" spans="1:24" x14ac:dyDescent="0.25">
      <c r="A23" s="11"/>
      <c r="B23" s="9" t="str">
        <f>Instrument!BD1</f>
        <v>/CLZ26</v>
      </c>
      <c r="C23" s="18">
        <v>46294</v>
      </c>
      <c r="D23" s="9">
        <v>692.75</v>
      </c>
      <c r="E23" s="9">
        <v>743</v>
      </c>
      <c r="F23" s="9">
        <v>6.9924999999999997</v>
      </c>
      <c r="G23" s="9">
        <v>522</v>
      </c>
      <c r="H23" s="9">
        <v>1312.75</v>
      </c>
      <c r="I23" s="9">
        <v>359</v>
      </c>
      <c r="J23" s="9">
        <v>68.36</v>
      </c>
      <c r="K23" s="9">
        <v>4731</v>
      </c>
      <c r="L23" s="9">
        <v>9571</v>
      </c>
      <c r="M23" s="9">
        <v>3347</v>
      </c>
      <c r="N23" s="9">
        <v>8855</v>
      </c>
      <c r="O23" s="9">
        <v>2298</v>
      </c>
      <c r="P23" s="9">
        <v>10044</v>
      </c>
      <c r="Q23" s="9">
        <v>557.75</v>
      </c>
      <c r="R23" s="9">
        <v>837.1</v>
      </c>
      <c r="S23" s="9">
        <v>2.145</v>
      </c>
      <c r="T23" s="9">
        <v>4.3323</v>
      </c>
      <c r="U23" s="10">
        <v>1297.25</v>
      </c>
      <c r="V23">
        <v>87.25</v>
      </c>
      <c r="W23">
        <v>93.51</v>
      </c>
      <c r="X23">
        <v>2.9459</v>
      </c>
    </row>
    <row r="24" spans="1:24" x14ac:dyDescent="0.25">
      <c r="A24" s="8"/>
      <c r="B24" s="9" t="str">
        <f>Instrument!BJ1</f>
        <v>/LCOF7</v>
      </c>
      <c r="C24" s="18">
        <v>46293</v>
      </c>
      <c r="D24" s="9">
        <v>688.75</v>
      </c>
      <c r="E24" s="9">
        <v>745.75</v>
      </c>
      <c r="F24" s="9">
        <v>7.0175000000000001</v>
      </c>
      <c r="G24" s="9">
        <v>523</v>
      </c>
      <c r="H24" s="9">
        <v>1303</v>
      </c>
      <c r="I24" s="9">
        <v>359.4</v>
      </c>
      <c r="J24" s="9">
        <v>67.66</v>
      </c>
      <c r="K24" s="9">
        <v>4774</v>
      </c>
      <c r="L24" s="9">
        <v>9675</v>
      </c>
      <c r="M24" s="9">
        <v>3386</v>
      </c>
      <c r="N24" s="9">
        <v>8883</v>
      </c>
      <c r="O24" s="9">
        <v>2337</v>
      </c>
      <c r="P24" s="9">
        <v>10134</v>
      </c>
      <c r="Q24" s="9">
        <v>548.25</v>
      </c>
      <c r="R24" s="9">
        <v>821.8</v>
      </c>
      <c r="S24" s="9">
        <v>2.1850000000000001</v>
      </c>
      <c r="T24" s="9">
        <v>4.3681000000000001</v>
      </c>
      <c r="U24" s="10">
        <v>1336.75</v>
      </c>
      <c r="V24">
        <v>89.01</v>
      </c>
      <c r="W24">
        <v>94.4</v>
      </c>
      <c r="X24">
        <v>2.968</v>
      </c>
    </row>
    <row r="25" spans="1:24" x14ac:dyDescent="0.25">
      <c r="A25" s="11"/>
      <c r="B25" s="12" t="str">
        <f>Instrument!BG1</f>
        <v>/RBZ26</v>
      </c>
      <c r="C25" s="18">
        <v>46290</v>
      </c>
      <c r="D25" s="9">
        <v>703.25</v>
      </c>
      <c r="E25" s="9">
        <v>762</v>
      </c>
      <c r="F25" s="9">
        <v>7.1349999999999998</v>
      </c>
      <c r="G25" s="9">
        <v>528.25</v>
      </c>
      <c r="H25" s="9">
        <v>1332.5</v>
      </c>
      <c r="I25" s="9">
        <v>371</v>
      </c>
      <c r="J25" s="9">
        <v>67.84</v>
      </c>
      <c r="K25" s="9">
        <v>4768</v>
      </c>
      <c r="L25" s="9"/>
      <c r="M25" s="9"/>
      <c r="N25" s="9"/>
      <c r="O25" s="9"/>
      <c r="P25" s="9"/>
      <c r="Q25" s="9">
        <v>557.5</v>
      </c>
      <c r="R25" s="9">
        <v>841.4</v>
      </c>
      <c r="S25" s="9">
        <v>2.21</v>
      </c>
      <c r="T25" s="9">
        <v>4.3746</v>
      </c>
      <c r="U25" s="10">
        <v>1346.25</v>
      </c>
      <c r="V25">
        <v>88.71</v>
      </c>
      <c r="W25">
        <v>94.11</v>
      </c>
      <c r="X25">
        <v>2.9826999999999999</v>
      </c>
    </row>
    <row r="26" spans="1:24" x14ac:dyDescent="0.25">
      <c r="A26" s="8"/>
      <c r="B26" s="9"/>
      <c r="C26" s="18">
        <v>46289</v>
      </c>
      <c r="D26" s="9">
        <v>707</v>
      </c>
      <c r="E26" s="9">
        <v>767</v>
      </c>
      <c r="F26" s="9">
        <v>7.2024999999999997</v>
      </c>
      <c r="G26" s="9">
        <v>527.5</v>
      </c>
      <c r="H26" s="9">
        <v>1332</v>
      </c>
      <c r="I26" s="9">
        <v>372.4</v>
      </c>
      <c r="J26" s="9">
        <v>67.55</v>
      </c>
      <c r="K26" s="9">
        <v>4870</v>
      </c>
      <c r="L26" s="9">
        <v>9787</v>
      </c>
      <c r="M26" s="9">
        <v>3405</v>
      </c>
      <c r="N26" s="9">
        <v>8943</v>
      </c>
      <c r="O26" s="9">
        <v>2347</v>
      </c>
      <c r="P26" s="9">
        <v>10236</v>
      </c>
      <c r="Q26" s="9">
        <v>557.75</v>
      </c>
      <c r="R26" s="9">
        <v>841.2</v>
      </c>
      <c r="S26" s="9">
        <v>2.1800000000000002</v>
      </c>
      <c r="T26" s="9">
        <v>4.4196999999999997</v>
      </c>
      <c r="U26" s="10">
        <v>1385.5</v>
      </c>
      <c r="V26">
        <v>90.9</v>
      </c>
      <c r="W26">
        <v>96.42</v>
      </c>
      <c r="X26">
        <v>3.0950000000000002</v>
      </c>
    </row>
    <row r="27" spans="1:24" x14ac:dyDescent="0.25">
      <c r="A27" s="11"/>
      <c r="B27" s="12"/>
      <c r="C27" s="18">
        <v>46288</v>
      </c>
      <c r="D27" s="9">
        <v>708.5</v>
      </c>
      <c r="E27" s="9">
        <v>771.75</v>
      </c>
      <c r="F27" s="9">
        <v>7.2874999999999996</v>
      </c>
      <c r="G27" s="9">
        <v>529</v>
      </c>
      <c r="H27" s="9">
        <v>1333.75</v>
      </c>
      <c r="I27" s="9">
        <v>370.6</v>
      </c>
      <c r="J27" s="9">
        <v>67.81</v>
      </c>
      <c r="K27" s="9">
        <v>4851</v>
      </c>
      <c r="L27" s="9">
        <v>9740</v>
      </c>
      <c r="M27" s="9">
        <v>3414</v>
      </c>
      <c r="N27" s="9">
        <v>8927</v>
      </c>
      <c r="O27" s="9">
        <v>2361</v>
      </c>
      <c r="P27" s="9">
        <v>10145</v>
      </c>
      <c r="Q27" s="9">
        <v>561.75</v>
      </c>
      <c r="R27" s="9">
        <v>837.2</v>
      </c>
      <c r="S27" s="9">
        <v>2.1749999999999998</v>
      </c>
      <c r="T27" s="9">
        <v>4.5171000000000001</v>
      </c>
      <c r="U27" s="10">
        <v>1344</v>
      </c>
      <c r="V27">
        <v>89.51</v>
      </c>
      <c r="W27">
        <v>95.03</v>
      </c>
      <c r="X27">
        <v>3.0750999999999999</v>
      </c>
    </row>
    <row r="28" spans="1:24" x14ac:dyDescent="0.25">
      <c r="A28" s="8"/>
      <c r="B28" s="9"/>
      <c r="C28" s="18">
        <v>46287</v>
      </c>
      <c r="D28" s="9">
        <v>717.25</v>
      </c>
      <c r="E28" s="9">
        <v>781.25</v>
      </c>
      <c r="F28" s="9">
        <v>7.3624999999999998</v>
      </c>
      <c r="G28" s="9">
        <v>536.75</v>
      </c>
      <c r="H28" s="9">
        <v>1341.25</v>
      </c>
      <c r="I28" s="9">
        <v>370.7</v>
      </c>
      <c r="J28" s="9">
        <v>67.92</v>
      </c>
      <c r="K28" s="9">
        <v>4884</v>
      </c>
      <c r="L28" s="9">
        <v>9859</v>
      </c>
      <c r="M28" s="9">
        <v>3410</v>
      </c>
      <c r="N28" s="9">
        <v>8946</v>
      </c>
      <c r="O28" s="9">
        <v>2362</v>
      </c>
      <c r="P28" s="9">
        <v>10243</v>
      </c>
      <c r="Q28" s="9">
        <v>560</v>
      </c>
      <c r="R28" s="9">
        <v>836.1</v>
      </c>
      <c r="S28" s="9">
        <v>2.1850000000000001</v>
      </c>
      <c r="T28" s="9">
        <v>4.5488999999999997</v>
      </c>
      <c r="U28" s="10">
        <v>1311</v>
      </c>
      <c r="V28">
        <v>87.98</v>
      </c>
      <c r="W28">
        <v>92.74</v>
      </c>
      <c r="X28">
        <v>2.9699</v>
      </c>
    </row>
    <row r="29" spans="1:24" x14ac:dyDescent="0.25">
      <c r="A29" s="11"/>
      <c r="B29" s="12"/>
      <c r="C29" s="18">
        <v>46286</v>
      </c>
      <c r="D29" s="9">
        <v>726.75</v>
      </c>
      <c r="E29" s="9">
        <v>794.5</v>
      </c>
      <c r="F29" s="9">
        <v>7.4625000000000004</v>
      </c>
      <c r="G29" s="9">
        <v>543</v>
      </c>
      <c r="H29" s="9">
        <v>1344</v>
      </c>
      <c r="I29" s="9">
        <v>368.4</v>
      </c>
      <c r="J29" s="9">
        <v>68.849999999999994</v>
      </c>
      <c r="K29" s="9">
        <v>4929</v>
      </c>
      <c r="L29" s="9">
        <v>9876</v>
      </c>
      <c r="M29" s="9">
        <v>3391</v>
      </c>
      <c r="N29" s="9">
        <v>8897</v>
      </c>
      <c r="O29" s="9">
        <v>2347</v>
      </c>
      <c r="P29" s="9">
        <v>10186</v>
      </c>
      <c r="Q29" s="9">
        <v>563.25</v>
      </c>
      <c r="R29" s="9">
        <v>846.8</v>
      </c>
      <c r="S29" s="9">
        <v>2.19</v>
      </c>
      <c r="T29" s="9">
        <v>4.4851000000000001</v>
      </c>
      <c r="U29" s="10">
        <v>1305.75</v>
      </c>
      <c r="V29">
        <v>89.16</v>
      </c>
      <c r="W29">
        <v>93.4</v>
      </c>
      <c r="X29">
        <v>2.9445000000000001</v>
      </c>
    </row>
    <row r="30" spans="1:24" x14ac:dyDescent="0.25">
      <c r="A30" s="8"/>
      <c r="B30" s="9"/>
      <c r="C30" s="18">
        <v>46283</v>
      </c>
      <c r="D30" s="9">
        <v>714.25</v>
      </c>
      <c r="E30" s="9">
        <v>783.75</v>
      </c>
      <c r="F30" s="9">
        <v>7.4124999999999996</v>
      </c>
      <c r="G30" s="9">
        <v>527.5</v>
      </c>
      <c r="H30" s="9">
        <v>1320</v>
      </c>
      <c r="I30" s="9">
        <v>358.6</v>
      </c>
      <c r="J30" s="9">
        <v>68.22</v>
      </c>
      <c r="K30" s="9">
        <v>4983</v>
      </c>
      <c r="L30" s="9">
        <v>9907</v>
      </c>
      <c r="M30" s="9">
        <v>3429</v>
      </c>
      <c r="N30" s="9">
        <v>8905</v>
      </c>
      <c r="O30" s="9">
        <v>2389</v>
      </c>
      <c r="P30" s="9">
        <v>10113</v>
      </c>
      <c r="Q30" s="9">
        <v>557.25</v>
      </c>
      <c r="R30" s="9">
        <v>833</v>
      </c>
      <c r="S30" s="9">
        <v>2.16</v>
      </c>
      <c r="T30" s="9">
        <v>4.5875000000000004</v>
      </c>
      <c r="U30" s="10">
        <v>1351.75</v>
      </c>
      <c r="V30">
        <v>92.05</v>
      </c>
      <c r="W30">
        <v>96.03</v>
      </c>
      <c r="X30">
        <v>3.0015000000000001</v>
      </c>
    </row>
    <row r="31" spans="1:24" x14ac:dyDescent="0.25">
      <c r="A31" s="11"/>
      <c r="B31" s="12"/>
      <c r="C31" s="18">
        <v>46282</v>
      </c>
      <c r="D31" s="9">
        <v>727</v>
      </c>
      <c r="E31" s="9">
        <v>794.5</v>
      </c>
      <c r="F31" s="9">
        <v>7.5250000000000004</v>
      </c>
      <c r="G31" s="9">
        <v>530.5</v>
      </c>
      <c r="H31" s="9">
        <v>1337</v>
      </c>
      <c r="I31" s="9">
        <v>371.3</v>
      </c>
      <c r="J31" s="9">
        <v>69.150000000000006</v>
      </c>
      <c r="K31" s="9">
        <v>5028</v>
      </c>
      <c r="L31" s="9">
        <v>10070</v>
      </c>
      <c r="M31" s="9">
        <v>3480</v>
      </c>
      <c r="N31" s="9">
        <v>9017</v>
      </c>
      <c r="O31" s="9">
        <v>2421</v>
      </c>
      <c r="P31" s="9">
        <v>10211</v>
      </c>
      <c r="Q31" s="9">
        <v>556</v>
      </c>
      <c r="R31" s="9">
        <v>844.1</v>
      </c>
      <c r="S31" s="9">
        <v>2.1349999999999998</v>
      </c>
      <c r="T31" s="9">
        <v>4.6261999999999999</v>
      </c>
      <c r="U31" s="10">
        <v>1338.25</v>
      </c>
      <c r="V31">
        <v>92.61</v>
      </c>
      <c r="W31">
        <v>96.15</v>
      </c>
      <c r="X31">
        <v>2.9994000000000001</v>
      </c>
    </row>
    <row r="32" spans="1:24" x14ac:dyDescent="0.25">
      <c r="A32" s="8"/>
      <c r="B32" s="9"/>
      <c r="C32" s="18">
        <v>46281</v>
      </c>
      <c r="D32" s="9">
        <v>730.75</v>
      </c>
      <c r="E32" s="9">
        <v>799.5</v>
      </c>
      <c r="F32" s="9">
        <v>7.56</v>
      </c>
      <c r="G32" s="9">
        <v>534.25</v>
      </c>
      <c r="H32" s="9">
        <v>1337.25</v>
      </c>
      <c r="I32" s="9">
        <v>365.6</v>
      </c>
      <c r="J32" s="9">
        <v>69.67</v>
      </c>
      <c r="K32" s="9"/>
      <c r="L32" s="9">
        <v>10066</v>
      </c>
      <c r="M32" s="9">
        <v>3434</v>
      </c>
      <c r="N32" s="9">
        <v>9000</v>
      </c>
      <c r="O32" s="9">
        <v>2372</v>
      </c>
      <c r="P32" s="9">
        <v>10169</v>
      </c>
      <c r="Q32" s="9">
        <v>556.75</v>
      </c>
      <c r="R32" s="9">
        <v>837.8</v>
      </c>
      <c r="S32" s="9">
        <v>2.105</v>
      </c>
      <c r="T32" s="9">
        <v>4.7154999999999996</v>
      </c>
      <c r="U32" s="10">
        <v>1364</v>
      </c>
      <c r="V32">
        <v>92.79</v>
      </c>
      <c r="W32">
        <v>96.69</v>
      </c>
      <c r="X32">
        <v>2.9870999999999999</v>
      </c>
    </row>
    <row r="33" spans="1:24" x14ac:dyDescent="0.25">
      <c r="A33" s="11"/>
      <c r="B33" s="12"/>
      <c r="C33" s="18">
        <v>46280</v>
      </c>
      <c r="D33" s="9">
        <v>728.5</v>
      </c>
      <c r="E33" s="9">
        <v>796.25</v>
      </c>
      <c r="F33" s="9">
        <v>7.4850000000000003</v>
      </c>
      <c r="G33" s="9">
        <v>535.75</v>
      </c>
      <c r="H33" s="9">
        <v>1335.25</v>
      </c>
      <c r="I33" s="9">
        <v>365.4</v>
      </c>
      <c r="J33" s="9">
        <v>70.349999999999994</v>
      </c>
      <c r="K33" s="9">
        <v>5086</v>
      </c>
      <c r="L33" s="9">
        <v>10031</v>
      </c>
      <c r="M33" s="9">
        <v>3374</v>
      </c>
      <c r="N33" s="9">
        <v>8960</v>
      </c>
      <c r="O33" s="9">
        <v>2330</v>
      </c>
      <c r="P33" s="9">
        <v>10101</v>
      </c>
      <c r="Q33" s="9">
        <v>558.5</v>
      </c>
      <c r="R33" s="9">
        <v>840.9</v>
      </c>
      <c r="S33" s="9">
        <v>2.105</v>
      </c>
      <c r="T33" s="9">
        <v>4.7351999999999999</v>
      </c>
      <c r="U33" s="10">
        <v>1391.75</v>
      </c>
      <c r="V33">
        <v>95.51</v>
      </c>
      <c r="W33">
        <v>98.75</v>
      </c>
      <c r="X33">
        <v>3.0293000000000001</v>
      </c>
    </row>
    <row r="34" spans="1:24" x14ac:dyDescent="0.25">
      <c r="A34" s="8"/>
      <c r="B34" s="9"/>
      <c r="C34" s="18">
        <v>46279</v>
      </c>
      <c r="D34" s="9">
        <v>722</v>
      </c>
      <c r="E34" s="9">
        <v>792.5</v>
      </c>
      <c r="F34" s="9">
        <v>7.3624999999999998</v>
      </c>
      <c r="G34" s="9">
        <v>533.25</v>
      </c>
      <c r="H34" s="9">
        <v>1320.25</v>
      </c>
      <c r="I34" s="9">
        <v>356.2</v>
      </c>
      <c r="J34" s="9">
        <v>70.19</v>
      </c>
      <c r="K34" s="9">
        <v>5052</v>
      </c>
      <c r="L34" s="9">
        <v>10038</v>
      </c>
      <c r="M34" s="9">
        <v>3384</v>
      </c>
      <c r="N34" s="9">
        <v>9024</v>
      </c>
      <c r="O34" s="9">
        <v>2349</v>
      </c>
      <c r="P34" s="9">
        <v>10192</v>
      </c>
      <c r="Q34" s="9">
        <v>555.5</v>
      </c>
      <c r="R34" s="9">
        <v>834.3</v>
      </c>
      <c r="S34" s="9">
        <v>2.0699999999999998</v>
      </c>
      <c r="T34" s="9">
        <v>4.54</v>
      </c>
      <c r="U34" s="10">
        <v>1320.25</v>
      </c>
      <c r="V34">
        <v>92.6</v>
      </c>
      <c r="W34">
        <v>96.85</v>
      </c>
      <c r="X34">
        <v>2.9521999999999999</v>
      </c>
    </row>
    <row r="35" spans="1:24" x14ac:dyDescent="0.25">
      <c r="A35" s="11"/>
      <c r="B35" s="12"/>
      <c r="C35" s="18">
        <v>46276</v>
      </c>
      <c r="D35" s="9">
        <v>725.25</v>
      </c>
      <c r="E35" s="9">
        <v>798.5</v>
      </c>
      <c r="F35" s="9">
        <v>7.45</v>
      </c>
      <c r="G35" s="9">
        <v>530.25</v>
      </c>
      <c r="H35" s="9">
        <v>1312</v>
      </c>
      <c r="I35" s="9">
        <v>352.8</v>
      </c>
      <c r="J35" s="9">
        <v>69.680000000000007</v>
      </c>
      <c r="K35" s="9">
        <v>5056</v>
      </c>
      <c r="L35" s="9">
        <v>10151</v>
      </c>
      <c r="M35" s="9">
        <v>3422</v>
      </c>
      <c r="N35" s="9">
        <v>9103</v>
      </c>
      <c r="O35" s="9">
        <v>2369</v>
      </c>
      <c r="P35" s="9">
        <v>10226</v>
      </c>
      <c r="Q35" s="9">
        <v>553</v>
      </c>
      <c r="R35" s="9">
        <v>827.1</v>
      </c>
      <c r="S35" s="9">
        <v>2.0649999999999999</v>
      </c>
      <c r="T35" s="9">
        <v>4.5583999999999998</v>
      </c>
      <c r="U35" s="10">
        <v>1320.5</v>
      </c>
      <c r="V35">
        <v>91.43</v>
      </c>
      <c r="W35">
        <v>95.69</v>
      </c>
      <c r="X35">
        <v>2.9390000000000001</v>
      </c>
    </row>
    <row r="36" spans="1:24" x14ac:dyDescent="0.25">
      <c r="A36" s="8"/>
      <c r="B36" s="9"/>
      <c r="C36" s="18">
        <v>46275</v>
      </c>
      <c r="D36" s="9">
        <v>741.25</v>
      </c>
      <c r="E36" s="9">
        <v>818.75</v>
      </c>
      <c r="F36" s="9">
        <v>7.625</v>
      </c>
      <c r="G36" s="9">
        <v>533.75</v>
      </c>
      <c r="H36" s="9">
        <v>1347.25</v>
      </c>
      <c r="I36" s="9">
        <v>356.9</v>
      </c>
      <c r="J36" s="9">
        <v>71.92</v>
      </c>
      <c r="K36" s="9">
        <v>5154</v>
      </c>
      <c r="L36" s="9">
        <v>10177</v>
      </c>
      <c r="M36" s="9">
        <v>3399</v>
      </c>
      <c r="N36" s="9">
        <v>9054</v>
      </c>
      <c r="O36" s="9">
        <v>2358</v>
      </c>
      <c r="P36" s="9">
        <v>10248</v>
      </c>
      <c r="Q36" s="9">
        <v>559.25</v>
      </c>
      <c r="R36" s="9">
        <v>849.4</v>
      </c>
      <c r="S36" s="9">
        <v>2.06</v>
      </c>
      <c r="T36" s="9">
        <v>4.6271000000000004</v>
      </c>
      <c r="U36" s="10">
        <v>1323.25</v>
      </c>
      <c r="V36">
        <v>93.93</v>
      </c>
      <c r="W36">
        <v>98.36</v>
      </c>
      <c r="X36">
        <v>3.024</v>
      </c>
    </row>
    <row r="37" spans="1:24" x14ac:dyDescent="0.25">
      <c r="A37" s="11"/>
      <c r="B37" s="12"/>
      <c r="C37" s="18">
        <v>46274</v>
      </c>
      <c r="D37" s="9">
        <v>728.75</v>
      </c>
      <c r="E37" s="9">
        <v>806.25</v>
      </c>
      <c r="F37" s="9">
        <v>7.48</v>
      </c>
      <c r="G37" s="9">
        <v>527.75</v>
      </c>
      <c r="H37" s="9">
        <v>1325.25</v>
      </c>
      <c r="I37" s="9">
        <v>351.4</v>
      </c>
      <c r="J37" s="9">
        <v>70.569999999999993</v>
      </c>
      <c r="K37" s="9">
        <v>5220</v>
      </c>
      <c r="L37" s="9">
        <v>10306</v>
      </c>
      <c r="M37" s="9">
        <v>3397</v>
      </c>
      <c r="N37" s="9">
        <v>9122</v>
      </c>
      <c r="O37" s="9">
        <v>2376</v>
      </c>
      <c r="P37" s="9">
        <v>10392</v>
      </c>
      <c r="Q37" s="9">
        <v>559</v>
      </c>
      <c r="R37" s="9">
        <v>841.2</v>
      </c>
      <c r="S37" s="9">
        <v>2.0299999999999998</v>
      </c>
      <c r="T37" s="9">
        <v>4.4345999999999997</v>
      </c>
      <c r="U37" s="10">
        <v>1257.75</v>
      </c>
      <c r="V37">
        <v>89.32</v>
      </c>
      <c r="W37">
        <v>93.6</v>
      </c>
      <c r="X37">
        <v>2.8969</v>
      </c>
    </row>
    <row r="38" spans="1:24" x14ac:dyDescent="0.25">
      <c r="A38" s="8"/>
      <c r="B38" s="9"/>
      <c r="C38" s="18">
        <v>46273</v>
      </c>
      <c r="D38" s="9">
        <v>747</v>
      </c>
      <c r="E38" s="9">
        <v>819</v>
      </c>
      <c r="F38" s="9">
        <v>7.54</v>
      </c>
      <c r="G38" s="9">
        <v>533.5</v>
      </c>
      <c r="H38" s="9">
        <v>1332</v>
      </c>
      <c r="I38" s="9">
        <v>349.8</v>
      </c>
      <c r="J38" s="9">
        <v>70.7</v>
      </c>
      <c r="K38" s="9">
        <v>5224</v>
      </c>
      <c r="L38" s="9">
        <v>10421</v>
      </c>
      <c r="M38" s="9">
        <v>3415</v>
      </c>
      <c r="N38" s="9">
        <v>9210</v>
      </c>
      <c r="O38" s="9">
        <v>2398</v>
      </c>
      <c r="P38" s="9">
        <v>10377</v>
      </c>
      <c r="Q38" s="9">
        <v>558.75</v>
      </c>
      <c r="R38" s="9">
        <v>848.3</v>
      </c>
      <c r="S38" s="9">
        <v>2.0550000000000002</v>
      </c>
      <c r="T38" s="9">
        <v>4.2526999999999999</v>
      </c>
      <c r="U38" s="10">
        <v>1225</v>
      </c>
      <c r="V38">
        <v>87.14</v>
      </c>
      <c r="W38">
        <v>91.3</v>
      </c>
      <c r="X38">
        <v>2.8931</v>
      </c>
    </row>
    <row r="39" spans="1:24" x14ac:dyDescent="0.25">
      <c r="A39" s="11"/>
      <c r="B39" s="12"/>
      <c r="C39" s="18">
        <v>46272</v>
      </c>
      <c r="D39" s="9"/>
      <c r="E39" s="9"/>
      <c r="F39" s="9"/>
      <c r="G39" s="9"/>
      <c r="H39" s="9"/>
      <c r="I39" s="9"/>
      <c r="J39" s="9"/>
      <c r="K39" s="9">
        <v>5214</v>
      </c>
      <c r="L39" s="9">
        <v>10264</v>
      </c>
      <c r="M39" s="9">
        <v>3404</v>
      </c>
      <c r="N39" s="9">
        <v>9142</v>
      </c>
      <c r="O39" s="9">
        <v>2400</v>
      </c>
      <c r="P39" s="9">
        <v>10238</v>
      </c>
      <c r="Q39" s="9">
        <v>556.5</v>
      </c>
      <c r="R39" s="9"/>
      <c r="S39" s="9"/>
      <c r="T39" s="9"/>
      <c r="U39" s="10">
        <v>1237.25</v>
      </c>
      <c r="W39">
        <v>89.94</v>
      </c>
    </row>
    <row r="40" spans="1:24" x14ac:dyDescent="0.25">
      <c r="A40" s="8"/>
      <c r="B40" s="9"/>
      <c r="C40" s="18">
        <v>46269</v>
      </c>
      <c r="D40" s="9">
        <v>734</v>
      </c>
      <c r="E40" s="9">
        <v>802.25</v>
      </c>
      <c r="F40" s="9">
        <v>7.45</v>
      </c>
      <c r="G40" s="9">
        <v>536.75</v>
      </c>
      <c r="H40" s="9">
        <v>1325</v>
      </c>
      <c r="I40" s="9">
        <v>355.1</v>
      </c>
      <c r="J40" s="9">
        <v>69.27</v>
      </c>
      <c r="K40" s="9">
        <v>5155</v>
      </c>
      <c r="L40" s="9">
        <v>10212</v>
      </c>
      <c r="M40" s="9">
        <v>3402</v>
      </c>
      <c r="N40" s="9">
        <v>9144</v>
      </c>
      <c r="O40" s="9">
        <v>2397</v>
      </c>
      <c r="P40" s="9">
        <v>10152</v>
      </c>
      <c r="Q40" s="9">
        <v>553.5</v>
      </c>
      <c r="R40" s="9">
        <v>832.7</v>
      </c>
      <c r="S40" s="9">
        <v>2.08</v>
      </c>
      <c r="T40" s="9">
        <v>4.2091000000000003</v>
      </c>
      <c r="U40" s="10">
        <v>1200</v>
      </c>
      <c r="V40">
        <v>85.46</v>
      </c>
      <c r="W40">
        <v>89.15</v>
      </c>
      <c r="X40">
        <v>2.8344999999999998</v>
      </c>
    </row>
    <row r="41" spans="1:24" x14ac:dyDescent="0.25">
      <c r="A41" s="11"/>
      <c r="B41" s="12"/>
      <c r="C41" s="18">
        <v>46268</v>
      </c>
      <c r="D41" s="9">
        <v>754.25</v>
      </c>
      <c r="E41" s="9">
        <v>815.5</v>
      </c>
      <c r="F41" s="9">
        <v>7.6550000000000002</v>
      </c>
      <c r="G41" s="9">
        <v>540.75</v>
      </c>
      <c r="H41" s="9">
        <v>1331.5</v>
      </c>
      <c r="I41" s="9">
        <v>355.5</v>
      </c>
      <c r="J41" s="9">
        <v>70.040000000000006</v>
      </c>
      <c r="K41" s="9">
        <v>5107</v>
      </c>
      <c r="L41" s="9">
        <v>10270</v>
      </c>
      <c r="M41" s="9">
        <v>3386</v>
      </c>
      <c r="N41" s="9">
        <v>9182</v>
      </c>
      <c r="O41" s="9">
        <v>2393</v>
      </c>
      <c r="P41" s="9">
        <v>10226</v>
      </c>
      <c r="Q41" s="9">
        <v>553</v>
      </c>
      <c r="R41" s="9">
        <v>839.5</v>
      </c>
      <c r="S41" s="9">
        <v>2.0950000000000002</v>
      </c>
      <c r="T41" s="9">
        <v>4.2398999999999996</v>
      </c>
      <c r="U41" s="10">
        <v>1218.5</v>
      </c>
      <c r="V41">
        <v>84.79</v>
      </c>
      <c r="W41">
        <v>88.32</v>
      </c>
      <c r="X41">
        <v>2.7993000000000001</v>
      </c>
    </row>
    <row r="42" spans="1:24" x14ac:dyDescent="0.25">
      <c r="A42" s="8"/>
      <c r="B42" s="9"/>
      <c r="C42" s="18">
        <v>46267</v>
      </c>
      <c r="D42" s="9">
        <v>774</v>
      </c>
      <c r="E42" s="9">
        <v>834.25</v>
      </c>
      <c r="F42" s="9">
        <v>7.82</v>
      </c>
      <c r="G42" s="9">
        <v>543.5</v>
      </c>
      <c r="H42" s="9">
        <v>1325</v>
      </c>
      <c r="I42" s="9">
        <v>349.6</v>
      </c>
      <c r="J42" s="9">
        <v>70.959999999999994</v>
      </c>
      <c r="K42" s="9">
        <v>5148</v>
      </c>
      <c r="L42" s="9">
        <v>10262</v>
      </c>
      <c r="M42" s="9">
        <v>3376</v>
      </c>
      <c r="N42" s="9">
        <v>9135</v>
      </c>
      <c r="O42" s="9">
        <v>2379</v>
      </c>
      <c r="P42" s="9">
        <v>10279</v>
      </c>
      <c r="Q42" s="9">
        <v>554.5</v>
      </c>
      <c r="R42" s="9">
        <v>835.9</v>
      </c>
      <c r="S42" s="9">
        <v>2.085</v>
      </c>
      <c r="T42" s="9">
        <v>4.2958999999999996</v>
      </c>
      <c r="U42" s="10">
        <v>1221.25</v>
      </c>
      <c r="V42">
        <v>85.25</v>
      </c>
      <c r="W42">
        <v>88.98</v>
      </c>
      <c r="X42">
        <v>2.7898999999999998</v>
      </c>
    </row>
    <row r="43" spans="1:24" x14ac:dyDescent="0.25">
      <c r="A43" s="11"/>
      <c r="B43" s="12"/>
      <c r="C43" s="18">
        <v>46266</v>
      </c>
      <c r="D43" s="9">
        <v>782.5</v>
      </c>
      <c r="E43" s="9">
        <v>845.25</v>
      </c>
      <c r="F43" s="9">
        <v>7.7675000000000001</v>
      </c>
      <c r="G43" s="9">
        <v>546</v>
      </c>
      <c r="H43" s="9">
        <v>1332.75</v>
      </c>
      <c r="I43" s="9">
        <v>352.6</v>
      </c>
      <c r="J43" s="9">
        <v>72.63</v>
      </c>
      <c r="K43" s="9">
        <v>5149</v>
      </c>
      <c r="L43" s="9">
        <v>10293</v>
      </c>
      <c r="M43" s="9">
        <v>3357</v>
      </c>
      <c r="N43" s="9">
        <v>9072</v>
      </c>
      <c r="O43" s="9">
        <v>2362</v>
      </c>
      <c r="P43" s="9">
        <v>10234</v>
      </c>
      <c r="Q43" s="9">
        <v>558.5</v>
      </c>
      <c r="R43" s="9">
        <v>852.3</v>
      </c>
      <c r="S43" s="9">
        <v>2.0750000000000002</v>
      </c>
      <c r="T43" s="9">
        <v>4.3085000000000004</v>
      </c>
      <c r="U43" s="10">
        <v>1207.75</v>
      </c>
      <c r="V43">
        <v>84.97</v>
      </c>
      <c r="W43">
        <v>88.67</v>
      </c>
      <c r="X43">
        <v>2.8125</v>
      </c>
    </row>
    <row r="44" spans="1:24" x14ac:dyDescent="0.25">
      <c r="A44" s="8"/>
      <c r="B44" s="9"/>
      <c r="C44" s="18">
        <v>46265</v>
      </c>
      <c r="D44" s="9">
        <v>774</v>
      </c>
      <c r="E44" s="9">
        <v>838</v>
      </c>
      <c r="F44" s="9">
        <v>7.63</v>
      </c>
      <c r="G44" s="9">
        <v>537.75</v>
      </c>
      <c r="H44" s="9">
        <v>1303.25</v>
      </c>
      <c r="I44" s="9">
        <v>345.3</v>
      </c>
      <c r="J44" s="9">
        <v>71.12</v>
      </c>
      <c r="K44" s="9"/>
      <c r="L44" s="9">
        <v>10241</v>
      </c>
      <c r="M44" s="9">
        <v>3353</v>
      </c>
      <c r="N44" s="9">
        <v>9013</v>
      </c>
      <c r="O44" s="9">
        <v>2367</v>
      </c>
      <c r="P44" s="9">
        <v>10240</v>
      </c>
      <c r="Q44" s="9">
        <v>546.5</v>
      </c>
      <c r="R44" s="9">
        <v>823.3</v>
      </c>
      <c r="S44" s="9">
        <v>2.0449999999999999</v>
      </c>
      <c r="T44" s="9">
        <v>4.0753000000000004</v>
      </c>
      <c r="U44" s="10">
        <v>1157.25</v>
      </c>
      <c r="V44">
        <v>82.07</v>
      </c>
      <c r="W44">
        <v>86.15</v>
      </c>
      <c r="X44">
        <v>2.7321</v>
      </c>
    </row>
    <row r="45" spans="1:24" x14ac:dyDescent="0.25">
      <c r="A45" s="11"/>
      <c r="B45" s="12"/>
      <c r="C45" s="18">
        <v>46262</v>
      </c>
      <c r="D45" s="9">
        <v>784</v>
      </c>
      <c r="E45" s="9">
        <v>844.25</v>
      </c>
      <c r="F45" s="9">
        <v>7.6924999999999999</v>
      </c>
      <c r="G45" s="9">
        <v>536.5</v>
      </c>
      <c r="H45" s="9">
        <v>1302.75</v>
      </c>
      <c r="I45" s="9">
        <v>348.9</v>
      </c>
      <c r="J45" s="9">
        <v>71.06</v>
      </c>
      <c r="K45" s="9">
        <v>5067</v>
      </c>
      <c r="L45" s="9">
        <v>10089</v>
      </c>
      <c r="M45" s="9">
        <v>3344</v>
      </c>
      <c r="N45" s="9">
        <v>8908</v>
      </c>
      <c r="O45" s="9">
        <v>2372</v>
      </c>
      <c r="P45" s="9">
        <v>10167</v>
      </c>
      <c r="Q45" s="9">
        <v>548.25</v>
      </c>
      <c r="R45" s="9">
        <v>833.2</v>
      </c>
      <c r="S45" s="9">
        <v>2.0375000000000001</v>
      </c>
      <c r="T45" s="9">
        <v>3.9420999999999999</v>
      </c>
      <c r="U45" s="10">
        <v>1117.25</v>
      </c>
      <c r="V45">
        <v>80</v>
      </c>
      <c r="W45">
        <v>84.16</v>
      </c>
      <c r="X45">
        <v>2.6839</v>
      </c>
    </row>
    <row r="46" spans="1:24" x14ac:dyDescent="0.25">
      <c r="A46" s="8"/>
      <c r="B46" s="9"/>
      <c r="C46" s="18">
        <v>46261</v>
      </c>
      <c r="D46" s="9">
        <v>760.75</v>
      </c>
      <c r="E46" s="9">
        <v>822</v>
      </c>
      <c r="F46" s="9">
        <v>7.5774999999999997</v>
      </c>
      <c r="G46" s="9">
        <v>533.5</v>
      </c>
      <c r="H46" s="9">
        <v>1283</v>
      </c>
      <c r="I46" s="9">
        <v>340.9</v>
      </c>
      <c r="J46" s="9">
        <v>68.510000000000005</v>
      </c>
      <c r="K46" s="9">
        <v>4984</v>
      </c>
      <c r="L46" s="9">
        <v>10060</v>
      </c>
      <c r="M46" s="9">
        <v>3324</v>
      </c>
      <c r="N46" s="9">
        <v>8818</v>
      </c>
      <c r="O46" s="9">
        <v>2357</v>
      </c>
      <c r="P46" s="9">
        <v>10134</v>
      </c>
      <c r="Q46" s="9">
        <v>542.5</v>
      </c>
      <c r="R46" s="9">
        <v>813.6</v>
      </c>
      <c r="S46" s="9">
        <v>2.0074999999999998</v>
      </c>
      <c r="T46" s="9">
        <v>3.8963000000000001</v>
      </c>
      <c r="U46" s="10">
        <v>1090.5</v>
      </c>
      <c r="V46">
        <v>80.11</v>
      </c>
      <c r="W46">
        <v>84.23</v>
      </c>
      <c r="X46">
        <v>2.6473</v>
      </c>
    </row>
    <row r="47" spans="1:24" x14ac:dyDescent="0.25">
      <c r="A47" s="11"/>
      <c r="B47" s="12"/>
      <c r="C47" s="18">
        <v>46260</v>
      </c>
      <c r="D47" s="9">
        <v>748.25</v>
      </c>
      <c r="E47" s="9">
        <v>808.75</v>
      </c>
      <c r="F47" s="9">
        <v>7.48</v>
      </c>
      <c r="G47" s="9">
        <v>536.5</v>
      </c>
      <c r="H47" s="9">
        <v>1280.75</v>
      </c>
      <c r="I47" s="9">
        <v>339.3</v>
      </c>
      <c r="J47" s="9">
        <v>67.739999999999995</v>
      </c>
      <c r="K47" s="9">
        <v>4996</v>
      </c>
      <c r="L47" s="9">
        <v>10039</v>
      </c>
      <c r="M47" s="9">
        <v>3266</v>
      </c>
      <c r="N47" s="9">
        <v>8760</v>
      </c>
      <c r="O47" s="9">
        <v>2306</v>
      </c>
      <c r="P47" s="9">
        <v>10105</v>
      </c>
      <c r="Q47" s="9">
        <v>541.5</v>
      </c>
      <c r="R47" s="9">
        <v>808.3</v>
      </c>
      <c r="S47" s="9">
        <v>2.0525000000000002</v>
      </c>
      <c r="T47" s="9">
        <v>3.8576000000000001</v>
      </c>
      <c r="U47" s="10">
        <v>1105.25</v>
      </c>
      <c r="V47">
        <v>79.27</v>
      </c>
      <c r="W47">
        <v>83.38</v>
      </c>
      <c r="X47">
        <v>2.6099000000000001</v>
      </c>
    </row>
    <row r="48" spans="1:24" x14ac:dyDescent="0.25">
      <c r="A48" s="8"/>
      <c r="B48" s="9"/>
      <c r="C48" s="18">
        <v>46259</v>
      </c>
      <c r="D48" s="9">
        <v>703.25</v>
      </c>
      <c r="E48" s="9">
        <v>770.75</v>
      </c>
      <c r="F48" s="9">
        <v>7.2</v>
      </c>
      <c r="G48" s="9">
        <v>523.5</v>
      </c>
      <c r="H48" s="9">
        <v>1252.25</v>
      </c>
      <c r="I48" s="9">
        <v>329.2</v>
      </c>
      <c r="J48" s="9">
        <v>67.78</v>
      </c>
      <c r="K48" s="9"/>
      <c r="L48" s="9">
        <v>10064</v>
      </c>
      <c r="M48" s="9">
        <v>3228</v>
      </c>
      <c r="N48" s="9">
        <v>8748</v>
      </c>
      <c r="O48" s="9">
        <v>2267</v>
      </c>
      <c r="P48" s="9">
        <v>10112</v>
      </c>
      <c r="Q48" s="9">
        <v>536</v>
      </c>
      <c r="R48" s="9">
        <v>799.6</v>
      </c>
      <c r="S48" s="9">
        <v>2.0499999999999998</v>
      </c>
      <c r="T48" s="9">
        <v>3.8727999999999998</v>
      </c>
      <c r="U48" s="10">
        <v>1110.5</v>
      </c>
      <c r="V48">
        <v>79.150000000000006</v>
      </c>
      <c r="W48">
        <v>83.45</v>
      </c>
      <c r="X48">
        <v>2.6012</v>
      </c>
    </row>
    <row r="49" spans="1:24" x14ac:dyDescent="0.25">
      <c r="A49" s="11"/>
      <c r="B49" s="12"/>
      <c r="C49" s="18">
        <v>46258</v>
      </c>
      <c r="D49" s="9">
        <v>699.5</v>
      </c>
      <c r="E49" s="9">
        <v>767.25</v>
      </c>
      <c r="F49" s="9">
        <v>7.2125000000000004</v>
      </c>
      <c r="G49" s="9">
        <v>515.5</v>
      </c>
      <c r="H49" s="9">
        <v>1238.25</v>
      </c>
      <c r="I49" s="9">
        <v>328.6</v>
      </c>
      <c r="J49" s="9">
        <v>67.31</v>
      </c>
      <c r="K49" s="9">
        <v>5064</v>
      </c>
      <c r="L49" s="9">
        <v>10178</v>
      </c>
      <c r="M49" s="9">
        <v>3240</v>
      </c>
      <c r="N49" s="9">
        <v>8811</v>
      </c>
      <c r="O49" s="9">
        <v>2275</v>
      </c>
      <c r="P49" s="9">
        <v>10248</v>
      </c>
      <c r="Q49" s="9">
        <v>524.75</v>
      </c>
      <c r="R49" s="9">
        <v>779.4</v>
      </c>
      <c r="S49" s="9">
        <v>2.105</v>
      </c>
      <c r="T49" s="9">
        <v>3.9138000000000002</v>
      </c>
      <c r="U49" s="10">
        <v>1127.25</v>
      </c>
      <c r="V49">
        <v>81.34</v>
      </c>
      <c r="W49">
        <v>85.96</v>
      </c>
      <c r="X49">
        <v>2.6465000000000001</v>
      </c>
    </row>
    <row r="50" spans="1:24" x14ac:dyDescent="0.25">
      <c r="A50" s="8"/>
      <c r="B50" s="9"/>
      <c r="C50" s="18">
        <v>46255</v>
      </c>
      <c r="D50" s="9">
        <v>699.25</v>
      </c>
      <c r="E50" s="9">
        <v>772.5</v>
      </c>
      <c r="F50" s="9">
        <v>7.2450000000000001</v>
      </c>
      <c r="G50" s="9">
        <v>508.5</v>
      </c>
      <c r="H50" s="9">
        <v>1253.75</v>
      </c>
      <c r="I50" s="9">
        <v>325.8</v>
      </c>
      <c r="J50" s="9">
        <v>69.58</v>
      </c>
      <c r="K50" s="9">
        <v>5118</v>
      </c>
      <c r="L50" s="9">
        <v>10146</v>
      </c>
      <c r="M50" s="9">
        <v>3244</v>
      </c>
      <c r="N50" s="9">
        <v>8836</v>
      </c>
      <c r="O50" s="9">
        <v>2281</v>
      </c>
      <c r="P50" s="9">
        <v>10338</v>
      </c>
      <c r="Q50" s="9">
        <v>541.25</v>
      </c>
      <c r="R50" s="9">
        <v>808.4</v>
      </c>
      <c r="S50" s="9">
        <v>2.105</v>
      </c>
      <c r="T50" s="9">
        <v>4.0846999999999998</v>
      </c>
      <c r="U50" s="10">
        <v>1165.25</v>
      </c>
      <c r="V50">
        <v>83.02</v>
      </c>
      <c r="W50">
        <v>87.67</v>
      </c>
      <c r="X50">
        <v>2.7201</v>
      </c>
    </row>
    <row r="51" spans="1:24" x14ac:dyDescent="0.25">
      <c r="A51" s="11"/>
      <c r="B51" s="12"/>
      <c r="C51" s="18">
        <v>46254</v>
      </c>
      <c r="D51" s="9">
        <v>700</v>
      </c>
      <c r="E51" s="9">
        <v>776.5</v>
      </c>
      <c r="F51" s="9">
        <v>7.2774999999999999</v>
      </c>
      <c r="G51" s="9">
        <v>503.5</v>
      </c>
      <c r="H51" s="9">
        <v>1251.5</v>
      </c>
      <c r="I51" s="9">
        <v>323.8</v>
      </c>
      <c r="J51" s="9">
        <v>71.319999999999993</v>
      </c>
      <c r="K51" s="9">
        <v>5070</v>
      </c>
      <c r="L51" s="9">
        <v>10082</v>
      </c>
      <c r="M51" s="9">
        <v>3264</v>
      </c>
      <c r="N51" s="9">
        <v>8809</v>
      </c>
      <c r="O51" s="9">
        <v>2304</v>
      </c>
      <c r="P51" s="9">
        <v>10400</v>
      </c>
      <c r="Q51" s="9">
        <v>547.25</v>
      </c>
      <c r="R51" s="9">
        <v>828.9</v>
      </c>
      <c r="S51" s="9">
        <v>2.0625</v>
      </c>
      <c r="T51" s="9">
        <v>4.0875000000000004</v>
      </c>
      <c r="U51" s="10">
        <v>1151</v>
      </c>
      <c r="V51">
        <v>82.67</v>
      </c>
      <c r="W51">
        <v>87</v>
      </c>
      <c r="X51">
        <v>2.7172999999999998</v>
      </c>
    </row>
    <row r="52" spans="1:24" x14ac:dyDescent="0.25">
      <c r="A52" s="8"/>
      <c r="B52" s="9"/>
      <c r="C52" s="18">
        <v>46253</v>
      </c>
      <c r="D52" s="9">
        <v>697.5</v>
      </c>
      <c r="E52" s="9">
        <v>776.75</v>
      </c>
      <c r="F52" s="9">
        <v>7.2024999999999997</v>
      </c>
      <c r="G52" s="9">
        <v>498</v>
      </c>
      <c r="H52" s="9">
        <v>1251.25</v>
      </c>
      <c r="I52" s="9">
        <v>325.60000000000002</v>
      </c>
      <c r="J52" s="9">
        <v>69.959999999999994</v>
      </c>
      <c r="K52" s="9">
        <v>5033</v>
      </c>
      <c r="L52" s="9">
        <v>9970</v>
      </c>
      <c r="M52" s="9">
        <v>3246</v>
      </c>
      <c r="N52" s="9">
        <v>8722</v>
      </c>
      <c r="O52" s="9">
        <v>2292</v>
      </c>
      <c r="P52" s="9">
        <v>10219</v>
      </c>
      <c r="Q52" s="9">
        <v>553</v>
      </c>
      <c r="R52" s="9">
        <v>827.9</v>
      </c>
      <c r="S52" s="9">
        <v>2.0249999999999999</v>
      </c>
      <c r="T52" s="9">
        <v>4.0114000000000001</v>
      </c>
      <c r="U52" s="10">
        <v>1136.25</v>
      </c>
      <c r="V52">
        <v>81.069999999999993</v>
      </c>
      <c r="W52">
        <v>85.36</v>
      </c>
      <c r="X52">
        <v>2.6798999999999999</v>
      </c>
    </row>
    <row r="53" spans="1:24" x14ac:dyDescent="0.25">
      <c r="A53" s="11"/>
      <c r="B53" s="12"/>
      <c r="C53" s="18">
        <v>46252</v>
      </c>
      <c r="D53" s="9">
        <v>681.25</v>
      </c>
      <c r="E53" s="9">
        <v>758.5</v>
      </c>
      <c r="F53" s="9">
        <v>7.0374999999999996</v>
      </c>
      <c r="G53" s="9">
        <v>488</v>
      </c>
      <c r="H53" s="9">
        <v>1231.5</v>
      </c>
      <c r="I53" s="9">
        <v>318.8</v>
      </c>
      <c r="J53" s="9">
        <v>69.63</v>
      </c>
      <c r="K53" s="9">
        <v>5007</v>
      </c>
      <c r="L53" s="9">
        <v>9896</v>
      </c>
      <c r="M53" s="9">
        <v>3218</v>
      </c>
      <c r="N53" s="9">
        <v>8644</v>
      </c>
      <c r="O53" s="9">
        <v>2270</v>
      </c>
      <c r="P53" s="9">
        <v>10198</v>
      </c>
      <c r="Q53" s="9">
        <v>547.5</v>
      </c>
      <c r="R53" s="9">
        <v>814.9</v>
      </c>
      <c r="S53" s="9">
        <v>2.0225</v>
      </c>
      <c r="T53" s="9">
        <v>4.0084</v>
      </c>
      <c r="U53" s="10">
        <v>1128</v>
      </c>
      <c r="V53">
        <v>81.2</v>
      </c>
      <c r="W53">
        <v>85.59</v>
      </c>
      <c r="X53">
        <v>2.6890000000000001</v>
      </c>
    </row>
    <row r="54" spans="1:24" x14ac:dyDescent="0.25">
      <c r="A54" s="8"/>
      <c r="B54" s="9"/>
      <c r="C54" s="18">
        <v>46251</v>
      </c>
      <c r="D54" s="9">
        <v>689.25</v>
      </c>
      <c r="E54" s="9">
        <v>771.75</v>
      </c>
      <c r="F54" s="9">
        <v>7.03</v>
      </c>
      <c r="G54" s="9">
        <v>489.5</v>
      </c>
      <c r="H54" s="9">
        <v>1231</v>
      </c>
      <c r="I54" s="9">
        <v>318.7</v>
      </c>
      <c r="J54" s="9">
        <v>70.819999999999993</v>
      </c>
      <c r="K54" s="9">
        <v>4970</v>
      </c>
      <c r="L54" s="9">
        <v>9808</v>
      </c>
      <c r="M54" s="9">
        <v>3174</v>
      </c>
      <c r="N54" s="9">
        <v>8547</v>
      </c>
      <c r="O54" s="9">
        <v>2246</v>
      </c>
      <c r="P54" s="9">
        <v>10146</v>
      </c>
      <c r="Q54" s="9">
        <v>550.5</v>
      </c>
      <c r="R54" s="9">
        <v>836.3</v>
      </c>
      <c r="S54" s="9">
        <v>2.0125000000000002</v>
      </c>
      <c r="T54" s="9">
        <v>3.9882</v>
      </c>
      <c r="U54" s="10">
        <v>1105.25</v>
      </c>
      <c r="V54">
        <v>80.83</v>
      </c>
      <c r="W54">
        <v>85.03</v>
      </c>
      <c r="X54">
        <v>2.6642000000000001</v>
      </c>
    </row>
    <row r="55" spans="1:24" x14ac:dyDescent="0.25">
      <c r="A55" s="11"/>
      <c r="B55" s="12"/>
      <c r="C55" s="18">
        <v>46248</v>
      </c>
      <c r="D55" s="9">
        <v>689.5</v>
      </c>
      <c r="E55" s="9">
        <v>767.75</v>
      </c>
      <c r="F55" s="9">
        <v>7.0425000000000004</v>
      </c>
      <c r="G55" s="9">
        <v>483.25</v>
      </c>
      <c r="H55" s="9">
        <v>1207.75</v>
      </c>
      <c r="I55" s="9">
        <v>316.3</v>
      </c>
      <c r="J55" s="9">
        <v>68.97</v>
      </c>
      <c r="K55" s="9">
        <v>4936</v>
      </c>
      <c r="L55" s="9">
        <v>9767</v>
      </c>
      <c r="M55" s="9">
        <v>3154</v>
      </c>
      <c r="N55" s="9">
        <v>8500</v>
      </c>
      <c r="O55" s="9">
        <v>2238</v>
      </c>
      <c r="P55" s="9">
        <v>10087</v>
      </c>
      <c r="Q55" s="9">
        <v>547.5</v>
      </c>
      <c r="R55" s="9">
        <v>826.4</v>
      </c>
      <c r="S55" s="9">
        <v>1.9950000000000001</v>
      </c>
      <c r="T55" s="9">
        <v>3.8681000000000001</v>
      </c>
      <c r="U55" s="10">
        <v>1079</v>
      </c>
      <c r="V55">
        <v>78.489999999999995</v>
      </c>
      <c r="W55">
        <v>82.64</v>
      </c>
      <c r="X55">
        <v>2.6105</v>
      </c>
    </row>
    <row r="56" spans="1:24" x14ac:dyDescent="0.25">
      <c r="A56" s="8"/>
      <c r="B56" s="9"/>
      <c r="C56" s="18">
        <v>46247</v>
      </c>
      <c r="D56" s="9">
        <v>668.25</v>
      </c>
      <c r="E56" s="9">
        <v>734.75</v>
      </c>
      <c r="F56" s="9">
        <v>6.9375</v>
      </c>
      <c r="G56" s="9">
        <v>472</v>
      </c>
      <c r="H56" s="9">
        <v>1197.75</v>
      </c>
      <c r="I56" s="9">
        <v>314</v>
      </c>
      <c r="J56" s="9">
        <v>68.38</v>
      </c>
      <c r="K56" s="9">
        <v>4908</v>
      </c>
      <c r="L56" s="9">
        <v>9699</v>
      </c>
      <c r="M56" s="9">
        <v>3154</v>
      </c>
      <c r="N56" s="9">
        <v>8453</v>
      </c>
      <c r="O56" s="9">
        <v>2233</v>
      </c>
      <c r="P56" s="9">
        <v>9969</v>
      </c>
      <c r="Q56" s="9">
        <v>542.25</v>
      </c>
      <c r="R56" s="9">
        <v>811.1</v>
      </c>
      <c r="S56" s="9">
        <v>1.9550000000000001</v>
      </c>
      <c r="T56" s="9">
        <v>3.8410000000000002</v>
      </c>
      <c r="U56" s="10">
        <v>1086.75</v>
      </c>
      <c r="V56">
        <v>77.599999999999994</v>
      </c>
      <c r="W56">
        <v>81.790000000000006</v>
      </c>
      <c r="X56">
        <v>2.5807000000000002</v>
      </c>
    </row>
    <row r="57" spans="1:24" x14ac:dyDescent="0.25">
      <c r="A57" s="11"/>
      <c r="B57" s="12"/>
      <c r="C57" s="18">
        <v>46246</v>
      </c>
      <c r="D57" s="9">
        <v>669.75</v>
      </c>
      <c r="E57" s="9">
        <v>737.75</v>
      </c>
      <c r="F57" s="9">
        <v>6.98</v>
      </c>
      <c r="G57" s="9">
        <v>480.75</v>
      </c>
      <c r="H57" s="9">
        <v>1199</v>
      </c>
      <c r="I57" s="9">
        <v>315.10000000000002</v>
      </c>
      <c r="J57" s="9">
        <v>68.760000000000005</v>
      </c>
      <c r="K57" s="9">
        <v>4872</v>
      </c>
      <c r="L57" s="9">
        <v>9696</v>
      </c>
      <c r="M57" s="9">
        <v>3131</v>
      </c>
      <c r="N57" s="9">
        <v>8443</v>
      </c>
      <c r="O57" s="9">
        <v>2227</v>
      </c>
      <c r="P57" s="9">
        <v>9935</v>
      </c>
      <c r="Q57" s="9">
        <v>538.25</v>
      </c>
      <c r="R57" s="9">
        <v>803.6</v>
      </c>
      <c r="S57" s="9">
        <v>1.9624999999999999</v>
      </c>
      <c r="T57" s="9">
        <v>3.8706</v>
      </c>
      <c r="U57" s="10">
        <v>1079.5</v>
      </c>
      <c r="V57">
        <v>78.790000000000006</v>
      </c>
      <c r="W57">
        <v>82.91</v>
      </c>
      <c r="X57">
        <v>2.6076999999999999</v>
      </c>
    </row>
    <row r="58" spans="1:24" x14ac:dyDescent="0.25">
      <c r="A58" s="8"/>
      <c r="B58" s="9"/>
      <c r="C58" s="18">
        <v>46245</v>
      </c>
      <c r="D58" s="9">
        <v>648.25</v>
      </c>
      <c r="E58" s="9">
        <v>716</v>
      </c>
      <c r="F58" s="9">
        <v>6.8449999999999998</v>
      </c>
      <c r="G58" s="9">
        <v>460.5</v>
      </c>
      <c r="H58" s="9">
        <v>1184.25</v>
      </c>
      <c r="I58" s="9">
        <v>310.89999999999998</v>
      </c>
      <c r="J58" s="9">
        <v>68.12</v>
      </c>
      <c r="K58" s="9">
        <v>4906</v>
      </c>
      <c r="L58" s="9">
        <v>9743</v>
      </c>
      <c r="M58" s="9">
        <v>3139</v>
      </c>
      <c r="N58" s="9">
        <v>8460</v>
      </c>
      <c r="O58" s="9">
        <v>2234</v>
      </c>
      <c r="P58" s="9">
        <v>9961</v>
      </c>
      <c r="Q58" s="9">
        <v>536.25</v>
      </c>
      <c r="R58" s="9">
        <v>791.2</v>
      </c>
      <c r="S58" s="9">
        <v>1.9275</v>
      </c>
      <c r="T58" s="9">
        <v>3.8113999999999999</v>
      </c>
      <c r="U58" s="10">
        <v>1055.25</v>
      </c>
      <c r="V58">
        <v>78.58</v>
      </c>
      <c r="W58">
        <v>82.73</v>
      </c>
      <c r="X58">
        <v>2.6052</v>
      </c>
    </row>
    <row r="59" spans="1:24" x14ac:dyDescent="0.25">
      <c r="A59" s="11"/>
      <c r="B59" s="12"/>
      <c r="C59" s="18">
        <v>46244</v>
      </c>
      <c r="D59" s="9">
        <v>659.25</v>
      </c>
      <c r="E59" s="9">
        <v>731.25</v>
      </c>
      <c r="F59" s="9">
        <v>6.95</v>
      </c>
      <c r="G59" s="9">
        <v>461.75</v>
      </c>
      <c r="H59" s="9">
        <v>1194.75</v>
      </c>
      <c r="I59" s="9">
        <v>311.60000000000002</v>
      </c>
      <c r="J59" s="9">
        <v>69.14</v>
      </c>
      <c r="K59" s="9">
        <v>4872</v>
      </c>
      <c r="L59" s="9">
        <v>9700</v>
      </c>
      <c r="M59" s="9">
        <v>3146</v>
      </c>
      <c r="N59" s="9">
        <v>8456</v>
      </c>
      <c r="O59" s="9">
        <v>2242</v>
      </c>
      <c r="P59" s="9">
        <v>9934</v>
      </c>
      <c r="Q59" s="9">
        <v>540.25</v>
      </c>
      <c r="R59" s="9">
        <v>804.8</v>
      </c>
      <c r="S59" s="9">
        <v>1.9424999999999999</v>
      </c>
      <c r="T59" s="9">
        <v>3.7948</v>
      </c>
      <c r="U59" s="10">
        <v>1055.25</v>
      </c>
      <c r="V59">
        <v>78.489999999999995</v>
      </c>
      <c r="W59">
        <v>82.57</v>
      </c>
      <c r="X59">
        <v>2.5985</v>
      </c>
    </row>
    <row r="60" spans="1:24" x14ac:dyDescent="0.25">
      <c r="A60" s="8"/>
      <c r="B60" s="9"/>
      <c r="C60" s="18">
        <v>46241</v>
      </c>
      <c r="D60" s="9">
        <v>658.25</v>
      </c>
      <c r="E60" s="9">
        <v>730.5</v>
      </c>
      <c r="F60" s="9">
        <v>7.0225</v>
      </c>
      <c r="G60" s="9">
        <v>462</v>
      </c>
      <c r="H60" s="9">
        <v>1191.25</v>
      </c>
      <c r="I60" s="9">
        <v>313.39999999999998</v>
      </c>
      <c r="J60" s="9">
        <v>67.88</v>
      </c>
      <c r="K60" s="9">
        <v>4829</v>
      </c>
      <c r="L60" s="9">
        <v>9662</v>
      </c>
      <c r="M60" s="9">
        <v>3144</v>
      </c>
      <c r="N60" s="9">
        <v>8434</v>
      </c>
      <c r="O60" s="9">
        <v>2235</v>
      </c>
      <c r="P60" s="9">
        <v>9909</v>
      </c>
      <c r="Q60" s="9">
        <v>535</v>
      </c>
      <c r="R60" s="9">
        <v>788.8</v>
      </c>
      <c r="S60" s="9">
        <v>1.94</v>
      </c>
      <c r="T60" s="9">
        <v>3.5827</v>
      </c>
      <c r="U60" s="10">
        <v>1003.75</v>
      </c>
      <c r="V60">
        <v>74.64</v>
      </c>
      <c r="W60">
        <v>78.680000000000007</v>
      </c>
      <c r="X60">
        <v>2.4900000000000002</v>
      </c>
    </row>
    <row r="61" spans="1:24" x14ac:dyDescent="0.25">
      <c r="A61" s="11"/>
      <c r="B61" s="12"/>
      <c r="C61" s="18">
        <v>46240</v>
      </c>
      <c r="D61" s="9">
        <v>650.5</v>
      </c>
      <c r="E61" s="9">
        <v>717.5</v>
      </c>
      <c r="F61" s="9">
        <v>6.9424999999999999</v>
      </c>
      <c r="G61" s="9">
        <v>462</v>
      </c>
      <c r="H61" s="9">
        <v>1192.75</v>
      </c>
      <c r="I61" s="9">
        <v>316.60000000000002</v>
      </c>
      <c r="J61" s="9">
        <v>67.37</v>
      </c>
      <c r="K61" s="9">
        <v>4815</v>
      </c>
      <c r="L61" s="9">
        <v>9685</v>
      </c>
      <c r="M61" s="9">
        <v>3121</v>
      </c>
      <c r="N61" s="9">
        <v>8420</v>
      </c>
      <c r="O61" s="9">
        <v>2233</v>
      </c>
      <c r="P61" s="9">
        <v>9875</v>
      </c>
      <c r="Q61" s="9">
        <v>528.25</v>
      </c>
      <c r="R61" s="9">
        <v>779</v>
      </c>
      <c r="S61" s="9">
        <v>1.91</v>
      </c>
      <c r="T61" s="9">
        <v>3.5331000000000001</v>
      </c>
      <c r="U61" s="10">
        <v>978</v>
      </c>
      <c r="V61">
        <v>73.599999999999994</v>
      </c>
      <c r="W61">
        <v>77.55</v>
      </c>
      <c r="X61">
        <v>2.4558</v>
      </c>
    </row>
    <row r="62" spans="1:24" x14ac:dyDescent="0.25">
      <c r="A62" s="8"/>
      <c r="B62" s="9"/>
      <c r="C62" s="18">
        <v>46239</v>
      </c>
      <c r="D62" s="9">
        <v>661.25</v>
      </c>
      <c r="E62" s="9">
        <v>731</v>
      </c>
      <c r="F62" s="9">
        <v>7.08</v>
      </c>
      <c r="G62" s="9">
        <v>460</v>
      </c>
      <c r="H62" s="9">
        <v>1189.75</v>
      </c>
      <c r="I62" s="9">
        <v>315.60000000000002</v>
      </c>
      <c r="J62" s="9">
        <v>67.17</v>
      </c>
      <c r="K62" s="9">
        <v>4817</v>
      </c>
      <c r="L62" s="9">
        <v>9653</v>
      </c>
      <c r="M62" s="9">
        <v>3118</v>
      </c>
      <c r="N62" s="9">
        <v>8417</v>
      </c>
      <c r="O62" s="9">
        <v>2235</v>
      </c>
      <c r="P62" s="9">
        <v>9843</v>
      </c>
      <c r="Q62" s="9">
        <v>524.75</v>
      </c>
      <c r="R62" s="9">
        <v>775.7</v>
      </c>
      <c r="S62" s="9">
        <v>1.9</v>
      </c>
      <c r="T62" s="9">
        <v>3.4649000000000001</v>
      </c>
      <c r="U62" s="10">
        <v>973</v>
      </c>
      <c r="V62">
        <v>71.87</v>
      </c>
      <c r="W62">
        <v>75.7</v>
      </c>
      <c r="X62">
        <v>2.3853</v>
      </c>
    </row>
    <row r="63" spans="1:24" x14ac:dyDescent="0.25">
      <c r="A63" s="11"/>
      <c r="B63" s="12"/>
      <c r="C63" s="18">
        <v>46238</v>
      </c>
      <c r="D63" s="9">
        <v>657.25</v>
      </c>
      <c r="E63" s="9">
        <v>724.5</v>
      </c>
      <c r="F63" s="9">
        <v>7.0925000000000002</v>
      </c>
      <c r="G63" s="9">
        <v>465.5</v>
      </c>
      <c r="H63" s="9">
        <v>1193.25</v>
      </c>
      <c r="I63" s="9">
        <v>318.39999999999998</v>
      </c>
      <c r="J63" s="9">
        <v>67.52</v>
      </c>
      <c r="K63" s="9">
        <v>4794</v>
      </c>
      <c r="L63" s="9">
        <v>9581</v>
      </c>
      <c r="M63" s="9">
        <v>3131</v>
      </c>
      <c r="N63" s="9">
        <v>8430</v>
      </c>
      <c r="O63" s="9">
        <v>2242</v>
      </c>
      <c r="P63" s="9">
        <v>9825</v>
      </c>
      <c r="Q63" s="9">
        <v>520</v>
      </c>
      <c r="R63" s="9">
        <v>770.7</v>
      </c>
      <c r="S63" s="9">
        <v>1.915</v>
      </c>
      <c r="T63" s="9">
        <v>3.4308000000000001</v>
      </c>
      <c r="U63" s="10">
        <v>959.75</v>
      </c>
      <c r="V63">
        <v>72.03</v>
      </c>
      <c r="W63">
        <v>75.97</v>
      </c>
      <c r="X63">
        <v>2.3826000000000001</v>
      </c>
    </row>
    <row r="64" spans="1:24" x14ac:dyDescent="0.25">
      <c r="A64" s="8"/>
      <c r="B64" s="9"/>
      <c r="C64" s="18">
        <v>46237</v>
      </c>
      <c r="D64" s="9">
        <v>669.25</v>
      </c>
      <c r="E64" s="9">
        <v>734</v>
      </c>
      <c r="F64" s="9">
        <v>7.2</v>
      </c>
      <c r="G64" s="9">
        <v>472.5</v>
      </c>
      <c r="H64" s="9">
        <v>1207</v>
      </c>
      <c r="I64" s="9">
        <v>321.60000000000002</v>
      </c>
      <c r="J64" s="9">
        <v>68.14</v>
      </c>
      <c r="K64" s="9">
        <v>4727</v>
      </c>
      <c r="L64" s="9">
        <v>9561</v>
      </c>
      <c r="M64" s="9">
        <v>3126</v>
      </c>
      <c r="N64" s="9">
        <v>8398</v>
      </c>
      <c r="O64" s="9">
        <v>2242</v>
      </c>
      <c r="P64" s="9">
        <v>9759</v>
      </c>
      <c r="Q64" s="9">
        <v>523.5</v>
      </c>
      <c r="R64" s="9"/>
      <c r="S64" s="9">
        <v>1.9325000000000001</v>
      </c>
      <c r="T64" s="9">
        <v>3.5009000000000001</v>
      </c>
      <c r="U64" s="10">
        <v>989.5</v>
      </c>
      <c r="V64">
        <v>73.94</v>
      </c>
      <c r="W64">
        <v>77.989999999999995</v>
      </c>
      <c r="X64">
        <v>2.4605000000000001</v>
      </c>
    </row>
    <row r="65" spans="1:24" x14ac:dyDescent="0.25">
      <c r="A65" s="11"/>
      <c r="B65" s="12"/>
      <c r="C65" s="18">
        <v>46234</v>
      </c>
      <c r="D65" s="9">
        <v>657.5</v>
      </c>
      <c r="E65" s="9">
        <v>723.75</v>
      </c>
      <c r="F65" s="9">
        <v>7.1449999999999996</v>
      </c>
      <c r="G65" s="9">
        <v>464</v>
      </c>
      <c r="H65" s="9">
        <v>1201.25</v>
      </c>
      <c r="I65" s="9">
        <v>321.2</v>
      </c>
      <c r="J65" s="9">
        <v>66.900000000000006</v>
      </c>
      <c r="K65" s="9">
        <v>4732</v>
      </c>
      <c r="L65" s="9">
        <v>9608</v>
      </c>
      <c r="M65" s="9">
        <v>3135</v>
      </c>
      <c r="N65" s="9">
        <v>8412</v>
      </c>
      <c r="O65" s="9">
        <v>2244</v>
      </c>
      <c r="P65" s="9">
        <v>9761</v>
      </c>
      <c r="Q65" s="9">
        <v>512.5</v>
      </c>
      <c r="R65" s="9">
        <v>767.5</v>
      </c>
      <c r="S65" s="9">
        <v>1.9125000000000001</v>
      </c>
      <c r="T65" s="9">
        <v>3.63</v>
      </c>
      <c r="U65" s="10">
        <v>1029.25</v>
      </c>
      <c r="V65">
        <v>76.44</v>
      </c>
      <c r="W65">
        <v>80.59</v>
      </c>
      <c r="X65">
        <v>2.5501999999999998</v>
      </c>
    </row>
    <row r="66" spans="1:24" x14ac:dyDescent="0.25">
      <c r="A66" s="8"/>
      <c r="B66" s="9"/>
      <c r="C66" s="18">
        <v>46233</v>
      </c>
      <c r="D66" s="9">
        <v>681.5</v>
      </c>
      <c r="E66" s="9">
        <v>746.75</v>
      </c>
      <c r="F66" s="9">
        <v>7.3550000000000004</v>
      </c>
      <c r="G66" s="9">
        <v>468.5</v>
      </c>
      <c r="H66" s="9">
        <v>1203.5</v>
      </c>
      <c r="I66" s="9">
        <v>322.8</v>
      </c>
      <c r="J66" s="9">
        <v>67.290000000000006</v>
      </c>
      <c r="K66" s="9">
        <v>4770</v>
      </c>
      <c r="L66" s="9">
        <v>9628</v>
      </c>
      <c r="M66" s="9">
        <v>3141</v>
      </c>
      <c r="N66" s="9">
        <v>8424</v>
      </c>
      <c r="O66" s="9">
        <v>2256</v>
      </c>
      <c r="P66" s="9">
        <v>9784</v>
      </c>
      <c r="Q66" s="9">
        <v>527.25</v>
      </c>
      <c r="R66" s="9">
        <v>777.6</v>
      </c>
      <c r="S66" s="9">
        <v>1.92</v>
      </c>
      <c r="T66" s="9">
        <v>3.6084999999999998</v>
      </c>
      <c r="U66" s="10">
        <v>1009.75</v>
      </c>
      <c r="V66">
        <v>76.12</v>
      </c>
      <c r="W66">
        <v>80.209999999999994</v>
      </c>
      <c r="X66">
        <v>2.544</v>
      </c>
    </row>
    <row r="67" spans="1:24" x14ac:dyDescent="0.25">
      <c r="A67" s="11"/>
      <c r="B67" s="12"/>
      <c r="C67" s="18">
        <v>46232</v>
      </c>
      <c r="D67" s="9">
        <v>677.75</v>
      </c>
      <c r="E67" s="9">
        <v>740.75</v>
      </c>
      <c r="F67" s="9">
        <v>7.2824999999999998</v>
      </c>
      <c r="G67" s="9">
        <v>471.75</v>
      </c>
      <c r="H67" s="9">
        <v>1207.5</v>
      </c>
      <c r="I67" s="9">
        <v>323.5</v>
      </c>
      <c r="J67" s="9">
        <v>67.62</v>
      </c>
      <c r="K67" s="9">
        <v>4753</v>
      </c>
      <c r="L67" s="9">
        <v>9637</v>
      </c>
      <c r="M67" s="9">
        <v>3171</v>
      </c>
      <c r="N67" s="9">
        <v>8454</v>
      </c>
      <c r="O67" s="9">
        <v>2298</v>
      </c>
      <c r="P67" s="9">
        <v>9814</v>
      </c>
      <c r="Q67" s="9">
        <v>530.75</v>
      </c>
      <c r="R67" s="9">
        <v>780.9</v>
      </c>
      <c r="S67" s="9">
        <v>1.9275</v>
      </c>
      <c r="T67" s="9">
        <v>3.6737000000000002</v>
      </c>
      <c r="U67" s="10">
        <v>1018.5</v>
      </c>
      <c r="V67">
        <v>77.739999999999995</v>
      </c>
      <c r="W67">
        <v>81.96</v>
      </c>
      <c r="X67">
        <v>2.6069</v>
      </c>
    </row>
    <row r="68" spans="1:24" x14ac:dyDescent="0.25">
      <c r="A68" s="8"/>
      <c r="B68" s="9"/>
      <c r="C68" s="18">
        <v>46231</v>
      </c>
      <c r="D68" s="9">
        <v>679.75</v>
      </c>
      <c r="E68" s="9">
        <v>742</v>
      </c>
      <c r="F68" s="9">
        <v>7.2525000000000004</v>
      </c>
      <c r="G68" s="9">
        <v>480.5</v>
      </c>
      <c r="H68" s="9">
        <v>1233.75</v>
      </c>
      <c r="I68" s="9">
        <v>327.8</v>
      </c>
      <c r="J68" s="9">
        <v>68.930000000000007</v>
      </c>
      <c r="K68" s="9">
        <v>4734</v>
      </c>
      <c r="L68" s="9">
        <v>9612</v>
      </c>
      <c r="M68" s="9">
        <v>3177</v>
      </c>
      <c r="N68" s="9">
        <v>8455</v>
      </c>
      <c r="O68" s="9">
        <v>2305</v>
      </c>
      <c r="P68" s="9">
        <v>9844</v>
      </c>
      <c r="Q68" s="9">
        <v>530.75</v>
      </c>
      <c r="R68" s="9">
        <v>792.2</v>
      </c>
      <c r="S68" s="9">
        <v>1.93</v>
      </c>
      <c r="T68" s="9">
        <v>3.5015000000000001</v>
      </c>
      <c r="U68" s="10">
        <v>967.5</v>
      </c>
      <c r="V68">
        <v>73.849999999999994</v>
      </c>
      <c r="W68">
        <v>77.680000000000007</v>
      </c>
      <c r="X68">
        <v>2.5087000000000002</v>
      </c>
    </row>
    <row r="69" spans="1:24" x14ac:dyDescent="0.25">
      <c r="A69" s="11"/>
      <c r="B69" s="12"/>
      <c r="C69" s="18">
        <v>46230</v>
      </c>
      <c r="D69" s="9">
        <v>677.5</v>
      </c>
      <c r="E69" s="9">
        <v>745.5</v>
      </c>
      <c r="F69" s="9">
        <v>7.2850000000000001</v>
      </c>
      <c r="G69" s="9">
        <v>474</v>
      </c>
      <c r="H69" s="9">
        <v>1227.5</v>
      </c>
      <c r="I69" s="9">
        <v>324.10000000000002</v>
      </c>
      <c r="J69" s="9">
        <v>69.58</v>
      </c>
      <c r="K69" s="9">
        <v>4757</v>
      </c>
      <c r="L69" s="9">
        <v>9711</v>
      </c>
      <c r="M69" s="9">
        <v>3230</v>
      </c>
      <c r="N69" s="9">
        <v>8543</v>
      </c>
      <c r="O69" s="9">
        <v>2349</v>
      </c>
      <c r="P69" s="9">
        <v>10002</v>
      </c>
      <c r="Q69" s="9">
        <v>536.5</v>
      </c>
      <c r="R69" s="9">
        <v>799.7</v>
      </c>
      <c r="S69" s="9">
        <v>1.9125000000000001</v>
      </c>
      <c r="T69" s="9">
        <v>3.5548000000000002</v>
      </c>
      <c r="U69" s="10">
        <v>991.25</v>
      </c>
      <c r="V69">
        <v>76.53</v>
      </c>
      <c r="W69">
        <v>80.709999999999994</v>
      </c>
      <c r="X69">
        <v>2.5621</v>
      </c>
    </row>
    <row r="70" spans="1:24" x14ac:dyDescent="0.25">
      <c r="A70" s="8"/>
      <c r="B70" s="9"/>
      <c r="C70" s="18">
        <v>46227</v>
      </c>
      <c r="D70" s="9">
        <v>695.5</v>
      </c>
      <c r="E70" s="9">
        <v>761.5</v>
      </c>
      <c r="F70" s="9">
        <v>7.3775000000000004</v>
      </c>
      <c r="G70" s="9">
        <v>487.5</v>
      </c>
      <c r="H70" s="9">
        <v>1266.5</v>
      </c>
      <c r="I70" s="9">
        <v>335.2</v>
      </c>
      <c r="J70" s="9">
        <v>72.010000000000005</v>
      </c>
      <c r="K70" s="9">
        <v>4800</v>
      </c>
      <c r="L70" s="9">
        <v>9817</v>
      </c>
      <c r="M70" s="9">
        <v>3246</v>
      </c>
      <c r="N70" s="9">
        <v>8610</v>
      </c>
      <c r="O70" s="9">
        <v>2356</v>
      </c>
      <c r="P70" s="9">
        <v>10132</v>
      </c>
      <c r="Q70" s="9">
        <v>550</v>
      </c>
      <c r="R70" s="9">
        <v>833.6</v>
      </c>
      <c r="S70" s="9">
        <v>1.93</v>
      </c>
      <c r="T70" s="9">
        <v>3.6389999999999998</v>
      </c>
      <c r="U70" s="10">
        <v>1003.5</v>
      </c>
      <c r="V70">
        <v>79.33</v>
      </c>
      <c r="W70">
        <v>83.74</v>
      </c>
      <c r="X70">
        <v>2.6393</v>
      </c>
    </row>
    <row r="71" spans="1:24" x14ac:dyDescent="0.25">
      <c r="A71" s="11"/>
      <c r="B71" s="12"/>
      <c r="C71" s="18">
        <v>46226</v>
      </c>
      <c r="D71" s="9">
        <v>713.75</v>
      </c>
      <c r="E71" s="9">
        <v>775.75</v>
      </c>
      <c r="F71" s="9">
        <v>7.53</v>
      </c>
      <c r="G71" s="9">
        <v>487.5</v>
      </c>
      <c r="H71" s="9">
        <v>1257</v>
      </c>
      <c r="I71" s="9">
        <v>331.9</v>
      </c>
      <c r="J71" s="9">
        <v>72.98</v>
      </c>
      <c r="K71" s="9">
        <v>4793</v>
      </c>
      <c r="L71" s="9">
        <v>9714</v>
      </c>
      <c r="M71" s="9">
        <v>3237</v>
      </c>
      <c r="N71" s="9">
        <v>8526</v>
      </c>
      <c r="O71" s="9">
        <v>2325</v>
      </c>
      <c r="P71" s="9">
        <v>10009</v>
      </c>
      <c r="Q71" s="9">
        <v>561.75</v>
      </c>
      <c r="R71" s="9">
        <v>845.6</v>
      </c>
      <c r="S71" s="9">
        <v>1.9225000000000001</v>
      </c>
      <c r="T71" s="9">
        <v>3.7241</v>
      </c>
      <c r="U71" s="10">
        <v>1044.25</v>
      </c>
      <c r="V71">
        <v>80.099999999999994</v>
      </c>
      <c r="W71">
        <v>84.84</v>
      </c>
      <c r="X71">
        <v>2.6842000000000001</v>
      </c>
    </row>
    <row r="72" spans="1:24" x14ac:dyDescent="0.25">
      <c r="A72" s="8"/>
      <c r="B72" s="9"/>
      <c r="C72" s="18">
        <v>46225</v>
      </c>
      <c r="D72" s="9">
        <v>722.75</v>
      </c>
      <c r="E72" s="9">
        <v>779</v>
      </c>
      <c r="F72" s="9">
        <v>7.5250000000000004</v>
      </c>
      <c r="G72" s="9">
        <v>484.75</v>
      </c>
      <c r="H72" s="9">
        <v>1252.75</v>
      </c>
      <c r="I72" s="9">
        <v>332.9</v>
      </c>
      <c r="J72" s="9">
        <v>72.819999999999993</v>
      </c>
      <c r="K72" s="9">
        <v>4711</v>
      </c>
      <c r="L72" s="9">
        <v>9546</v>
      </c>
      <c r="M72" s="9">
        <v>3198</v>
      </c>
      <c r="N72" s="9">
        <v>8488</v>
      </c>
      <c r="O72" s="9">
        <v>2298</v>
      </c>
      <c r="P72" s="9">
        <v>9887</v>
      </c>
      <c r="Q72" s="9">
        <v>555</v>
      </c>
      <c r="R72" s="9">
        <v>832.5</v>
      </c>
      <c r="S72" s="9">
        <v>1.9125000000000001</v>
      </c>
      <c r="T72" s="9">
        <v>3.6101000000000001</v>
      </c>
      <c r="U72" s="10">
        <v>1002.75</v>
      </c>
      <c r="V72">
        <v>78.64</v>
      </c>
      <c r="W72">
        <v>83.12</v>
      </c>
      <c r="X72">
        <v>2.6313</v>
      </c>
    </row>
    <row r="73" spans="1:24" x14ac:dyDescent="0.25">
      <c r="A73" s="11"/>
      <c r="B73" s="12"/>
      <c r="C73" s="18">
        <v>46224</v>
      </c>
      <c r="D73" s="9">
        <v>696</v>
      </c>
      <c r="E73" s="9">
        <v>749.5</v>
      </c>
      <c r="F73" s="9">
        <v>7.2824999999999998</v>
      </c>
      <c r="G73" s="9">
        <v>475.25</v>
      </c>
      <c r="H73" s="9">
        <v>1236.75</v>
      </c>
      <c r="I73" s="9">
        <v>327.3</v>
      </c>
      <c r="J73" s="9">
        <v>71.63</v>
      </c>
      <c r="K73" s="9">
        <v>4709</v>
      </c>
      <c r="L73" s="9">
        <v>9573</v>
      </c>
      <c r="M73" s="9">
        <v>3195</v>
      </c>
      <c r="N73" s="9">
        <v>8560</v>
      </c>
      <c r="O73" s="9">
        <v>2284</v>
      </c>
      <c r="P73" s="9">
        <v>9951</v>
      </c>
      <c r="Q73" s="9">
        <v>552.5</v>
      </c>
      <c r="R73" s="9">
        <v>812.9</v>
      </c>
      <c r="S73" s="9">
        <v>1.9025000000000001</v>
      </c>
      <c r="T73" s="9">
        <v>3.573</v>
      </c>
      <c r="U73" s="10">
        <v>990.5</v>
      </c>
      <c r="V73">
        <v>78.239999999999995</v>
      </c>
      <c r="W73">
        <v>82.51</v>
      </c>
      <c r="X73">
        <v>2.6149</v>
      </c>
    </row>
    <row r="74" spans="1:24" x14ac:dyDescent="0.25">
      <c r="A74" s="8"/>
      <c r="B74" s="9"/>
      <c r="C74" s="18">
        <v>46223</v>
      </c>
      <c r="D74" s="9">
        <v>691.5</v>
      </c>
      <c r="E74" s="9">
        <v>739</v>
      </c>
      <c r="F74" s="9">
        <v>7.1725000000000003</v>
      </c>
      <c r="G74" s="9">
        <v>473</v>
      </c>
      <c r="H74" s="9">
        <v>1240</v>
      </c>
      <c r="I74" s="9">
        <v>323.8</v>
      </c>
      <c r="J74" s="9">
        <v>72.13</v>
      </c>
      <c r="K74" s="9">
        <v>4735</v>
      </c>
      <c r="L74" s="9">
        <v>9623</v>
      </c>
      <c r="M74" s="9">
        <v>3157</v>
      </c>
      <c r="N74" s="9">
        <v>8581</v>
      </c>
      <c r="O74" s="9">
        <v>2260</v>
      </c>
      <c r="P74" s="9">
        <v>9936</v>
      </c>
      <c r="Q74" s="9">
        <v>556.25</v>
      </c>
      <c r="R74" s="9">
        <v>819.8</v>
      </c>
      <c r="S74" s="9">
        <v>1.9075</v>
      </c>
      <c r="T74" s="9">
        <v>3.5451000000000001</v>
      </c>
      <c r="U74" s="10">
        <v>976</v>
      </c>
      <c r="V74">
        <v>77.83</v>
      </c>
      <c r="W74">
        <v>82.12</v>
      </c>
      <c r="X74">
        <v>2.5950000000000002</v>
      </c>
    </row>
    <row r="75" spans="1:24" x14ac:dyDescent="0.25">
      <c r="A75" s="11"/>
      <c r="B75" s="12"/>
      <c r="C75" s="18">
        <v>46220</v>
      </c>
      <c r="D75" s="9">
        <v>699.75</v>
      </c>
      <c r="E75" s="9">
        <v>746.75</v>
      </c>
      <c r="F75" s="9">
        <v>7.1675000000000004</v>
      </c>
      <c r="G75" s="9">
        <v>467.5</v>
      </c>
      <c r="H75" s="9">
        <v>1216.75</v>
      </c>
      <c r="I75" s="9">
        <v>318.5</v>
      </c>
      <c r="J75" s="9">
        <v>72.430000000000007</v>
      </c>
      <c r="K75" s="9">
        <v>4697</v>
      </c>
      <c r="L75" s="9">
        <v>9535</v>
      </c>
      <c r="M75" s="9">
        <v>3135</v>
      </c>
      <c r="N75" s="9">
        <v>8543</v>
      </c>
      <c r="O75" s="9">
        <v>2246</v>
      </c>
      <c r="P75" s="9">
        <v>9890</v>
      </c>
      <c r="Q75" s="9">
        <v>548</v>
      </c>
      <c r="R75" s="9">
        <v>803.8</v>
      </c>
      <c r="S75" s="9">
        <v>1.89</v>
      </c>
      <c r="T75" s="9">
        <v>3.5142000000000002</v>
      </c>
      <c r="U75" s="10">
        <v>968</v>
      </c>
      <c r="V75">
        <v>77.650000000000006</v>
      </c>
      <c r="W75">
        <v>82.02</v>
      </c>
      <c r="X75">
        <v>2.5861000000000001</v>
      </c>
    </row>
    <row r="76" spans="1:24" x14ac:dyDescent="0.25">
      <c r="A76" s="8"/>
      <c r="B76" s="9"/>
      <c r="C76" s="18">
        <v>46219</v>
      </c>
      <c r="D76" s="9">
        <v>691</v>
      </c>
      <c r="E76" s="9">
        <v>731.25</v>
      </c>
      <c r="F76" s="9">
        <v>7.085</v>
      </c>
      <c r="G76" s="9">
        <v>464</v>
      </c>
      <c r="H76" s="9">
        <v>1209.5</v>
      </c>
      <c r="I76" s="9">
        <v>322.39999999999998</v>
      </c>
      <c r="J76" s="9">
        <v>70.569999999999993</v>
      </c>
      <c r="K76" s="9">
        <v>4701</v>
      </c>
      <c r="L76" s="9">
        <v>9552</v>
      </c>
      <c r="M76" s="9">
        <v>3139</v>
      </c>
      <c r="N76" s="9">
        <v>8575</v>
      </c>
      <c r="O76" s="9">
        <v>2257</v>
      </c>
      <c r="P76" s="9">
        <v>9897</v>
      </c>
      <c r="Q76" s="9">
        <v>544</v>
      </c>
      <c r="R76" s="9">
        <v>792.2</v>
      </c>
      <c r="S76" s="9">
        <v>1.8825000000000001</v>
      </c>
      <c r="T76" s="9">
        <v>3.4828999999999999</v>
      </c>
      <c r="U76" s="10">
        <v>957</v>
      </c>
      <c r="V76">
        <v>75.430000000000007</v>
      </c>
      <c r="W76">
        <v>79.91</v>
      </c>
      <c r="X76">
        <v>2.5196999999999998</v>
      </c>
    </row>
    <row r="77" spans="1:24" x14ac:dyDescent="0.25">
      <c r="A77" s="11"/>
      <c r="B77" s="12"/>
      <c r="C77" s="18">
        <v>46218</v>
      </c>
      <c r="D77" s="9">
        <v>692</v>
      </c>
      <c r="E77" s="9">
        <v>733.25</v>
      </c>
      <c r="F77" s="9">
        <v>7.0549999999999997</v>
      </c>
      <c r="G77" s="9">
        <v>469.5</v>
      </c>
      <c r="H77" s="9">
        <v>1215.75</v>
      </c>
      <c r="I77" s="9">
        <v>320</v>
      </c>
      <c r="J77" s="9">
        <v>70.94</v>
      </c>
      <c r="K77" s="9">
        <v>4698</v>
      </c>
      <c r="L77" s="9">
        <v>9594</v>
      </c>
      <c r="M77" s="9">
        <v>3128</v>
      </c>
      <c r="N77" s="9">
        <v>8589</v>
      </c>
      <c r="O77" s="9">
        <v>2254</v>
      </c>
      <c r="P77" s="9">
        <v>9833</v>
      </c>
      <c r="Q77" s="9">
        <v>548</v>
      </c>
      <c r="R77" s="9">
        <v>801.4</v>
      </c>
      <c r="S77" s="9">
        <v>1.8975</v>
      </c>
      <c r="T77" s="9">
        <v>3.4499</v>
      </c>
      <c r="U77" s="10">
        <v>939.5</v>
      </c>
      <c r="V77">
        <v>75.88</v>
      </c>
      <c r="W77">
        <v>80.150000000000006</v>
      </c>
      <c r="X77">
        <v>2.5150999999999999</v>
      </c>
    </row>
    <row r="78" spans="1:24" x14ac:dyDescent="0.25">
      <c r="A78" s="8"/>
      <c r="B78" s="9"/>
      <c r="C78" s="18">
        <v>46217</v>
      </c>
      <c r="D78" s="9">
        <v>659.75</v>
      </c>
      <c r="E78" s="9">
        <v>692.5</v>
      </c>
      <c r="F78" s="9">
        <v>6.7824999999999998</v>
      </c>
      <c r="G78" s="9">
        <v>460.5</v>
      </c>
      <c r="H78" s="9">
        <v>1205</v>
      </c>
      <c r="I78" s="9">
        <v>316.3</v>
      </c>
      <c r="J78" s="9">
        <v>70.680000000000007</v>
      </c>
      <c r="K78" s="9">
        <v>4700</v>
      </c>
      <c r="L78" s="9">
        <v>9579</v>
      </c>
      <c r="M78" s="9">
        <v>3120</v>
      </c>
      <c r="N78" s="9">
        <v>8583</v>
      </c>
      <c r="O78" s="9">
        <v>2249</v>
      </c>
      <c r="P78" s="9">
        <v>9817</v>
      </c>
      <c r="Q78" s="9">
        <v>539.25</v>
      </c>
      <c r="R78" s="9">
        <v>783.7</v>
      </c>
      <c r="S78" s="9">
        <v>1.895</v>
      </c>
      <c r="T78" s="9">
        <v>3.4521000000000002</v>
      </c>
      <c r="U78" s="10">
        <v>929.5</v>
      </c>
      <c r="V78">
        <v>75.34</v>
      </c>
      <c r="W78">
        <v>80.040000000000006</v>
      </c>
      <c r="X78">
        <v>2.4927000000000001</v>
      </c>
    </row>
    <row r="79" spans="1:24" x14ac:dyDescent="0.25">
      <c r="A79" s="11"/>
      <c r="B79" s="12"/>
      <c r="C79" s="18">
        <v>46216</v>
      </c>
      <c r="D79" s="9">
        <v>650.5</v>
      </c>
      <c r="E79" s="9">
        <v>681.25</v>
      </c>
      <c r="F79" s="9">
        <v>6.7424999999999997</v>
      </c>
      <c r="G79" s="9">
        <v>463.25</v>
      </c>
      <c r="H79" s="9">
        <v>1208.75</v>
      </c>
      <c r="I79" s="9">
        <v>315</v>
      </c>
      <c r="J79" s="9">
        <v>71.16</v>
      </c>
      <c r="K79" s="9">
        <v>4665</v>
      </c>
      <c r="L79" s="9">
        <v>9555</v>
      </c>
      <c r="M79" s="9">
        <v>3124</v>
      </c>
      <c r="N79" s="9">
        <v>8566</v>
      </c>
      <c r="O79" s="9">
        <v>2261</v>
      </c>
      <c r="P79" s="9">
        <v>9797</v>
      </c>
      <c r="Q79" s="9">
        <v>541.5</v>
      </c>
      <c r="R79" s="9">
        <v>798.3</v>
      </c>
      <c r="S79" s="9">
        <v>1.9275</v>
      </c>
      <c r="T79" s="9">
        <v>3.3761000000000001</v>
      </c>
      <c r="U79" s="10">
        <v>909.5</v>
      </c>
      <c r="V79">
        <v>75.61</v>
      </c>
      <c r="W79">
        <v>80.209999999999994</v>
      </c>
      <c r="X79">
        <v>2.4786000000000001</v>
      </c>
    </row>
    <row r="80" spans="1:24" x14ac:dyDescent="0.25">
      <c r="A80" s="8"/>
      <c r="B80" s="9"/>
      <c r="C80" s="18">
        <v>46213</v>
      </c>
      <c r="D80" s="9">
        <v>654.5</v>
      </c>
      <c r="E80" s="9">
        <v>690.25</v>
      </c>
      <c r="F80" s="9">
        <v>6.7424999999999997</v>
      </c>
      <c r="G80" s="9">
        <v>461</v>
      </c>
      <c r="H80" s="9">
        <v>1204.75</v>
      </c>
      <c r="I80" s="9">
        <v>318.7</v>
      </c>
      <c r="J80" s="9">
        <v>68.98</v>
      </c>
      <c r="K80" s="9">
        <v>4644</v>
      </c>
      <c r="L80" s="9">
        <v>9568</v>
      </c>
      <c r="M80" s="9">
        <v>3105</v>
      </c>
      <c r="N80" s="9">
        <v>8553</v>
      </c>
      <c r="O80" s="9">
        <v>2265</v>
      </c>
      <c r="P80" s="9">
        <v>9786</v>
      </c>
      <c r="Q80" s="9">
        <v>528.75</v>
      </c>
      <c r="R80" s="9">
        <v>787</v>
      </c>
      <c r="S80" s="9">
        <v>1.9225000000000001</v>
      </c>
      <c r="T80" s="9">
        <v>3.1859000000000002</v>
      </c>
      <c r="U80" s="10">
        <v>865</v>
      </c>
      <c r="V80">
        <v>70.62</v>
      </c>
      <c r="W80">
        <v>75.17</v>
      </c>
      <c r="X80">
        <v>2.3525999999999998</v>
      </c>
    </row>
    <row r="81" spans="1:24" x14ac:dyDescent="0.25">
      <c r="A81" s="11"/>
      <c r="B81" s="12"/>
      <c r="C81" s="18">
        <v>46212</v>
      </c>
      <c r="D81" s="9">
        <v>634</v>
      </c>
      <c r="E81" s="9">
        <v>668.25</v>
      </c>
      <c r="F81" s="9">
        <v>6.6025</v>
      </c>
      <c r="G81" s="9">
        <v>452</v>
      </c>
      <c r="H81" s="9">
        <v>1195.75</v>
      </c>
      <c r="I81" s="9">
        <v>315.39999999999998</v>
      </c>
      <c r="J81" s="9">
        <v>68.62</v>
      </c>
      <c r="K81" s="9">
        <v>4716</v>
      </c>
      <c r="L81" s="9">
        <v>9662</v>
      </c>
      <c r="M81" s="9">
        <v>3107</v>
      </c>
      <c r="N81" s="9">
        <v>8596</v>
      </c>
      <c r="O81" s="9">
        <v>2261</v>
      </c>
      <c r="P81" s="9">
        <v>9797</v>
      </c>
      <c r="Q81" s="9">
        <v>528.75</v>
      </c>
      <c r="R81" s="9">
        <v>783</v>
      </c>
      <c r="S81" s="9">
        <v>1.895</v>
      </c>
      <c r="T81" s="9">
        <v>3.2094</v>
      </c>
      <c r="U81" s="10">
        <v>878.25</v>
      </c>
      <c r="V81">
        <v>70.790000000000006</v>
      </c>
      <c r="W81">
        <v>75.22</v>
      </c>
      <c r="X81">
        <v>2.3712</v>
      </c>
    </row>
    <row r="82" spans="1:24" x14ac:dyDescent="0.25">
      <c r="A82" s="8"/>
      <c r="B82" s="9"/>
      <c r="C82" s="18">
        <v>46211</v>
      </c>
      <c r="D82" s="9">
        <v>623.25</v>
      </c>
      <c r="E82" s="9">
        <v>659.75</v>
      </c>
      <c r="F82" s="9">
        <v>6.5274999999999999</v>
      </c>
      <c r="G82" s="9">
        <v>456.25</v>
      </c>
      <c r="H82" s="9">
        <v>1205.75</v>
      </c>
      <c r="I82" s="9">
        <v>311.2</v>
      </c>
      <c r="J82" s="9">
        <v>69.52</v>
      </c>
      <c r="K82" s="9">
        <v>4717</v>
      </c>
      <c r="L82" s="9">
        <v>9616</v>
      </c>
      <c r="M82" s="9">
        <v>3106</v>
      </c>
      <c r="N82" s="9">
        <v>8582</v>
      </c>
      <c r="O82" s="9">
        <v>2256</v>
      </c>
      <c r="P82" s="9">
        <v>9771</v>
      </c>
      <c r="Q82" s="9">
        <v>532.75</v>
      </c>
      <c r="R82" s="9">
        <v>793.5</v>
      </c>
      <c r="S82" s="9">
        <v>1.895</v>
      </c>
      <c r="T82" s="9">
        <v>3.2791999999999999</v>
      </c>
      <c r="U82" s="10">
        <v>917.5</v>
      </c>
      <c r="V82">
        <v>71.72</v>
      </c>
      <c r="W82">
        <v>76.2</v>
      </c>
      <c r="X82">
        <v>2.4024000000000001</v>
      </c>
    </row>
    <row r="83" spans="1:24" x14ac:dyDescent="0.25">
      <c r="A83" s="11"/>
      <c r="B83" s="12"/>
      <c r="C83" s="18">
        <v>46210</v>
      </c>
      <c r="D83" s="9">
        <v>633.75</v>
      </c>
      <c r="E83" s="9">
        <v>667.25</v>
      </c>
      <c r="F83" s="9">
        <v>6.5525000000000002</v>
      </c>
      <c r="G83" s="9">
        <v>464.25</v>
      </c>
      <c r="H83" s="9">
        <v>1210.75</v>
      </c>
      <c r="I83" s="9">
        <v>316.5</v>
      </c>
      <c r="J83" s="9">
        <v>67.27</v>
      </c>
      <c r="K83" s="9">
        <v>4648</v>
      </c>
      <c r="L83" s="9">
        <v>9580</v>
      </c>
      <c r="M83" s="9">
        <v>3093</v>
      </c>
      <c r="N83" s="9">
        <v>8535</v>
      </c>
      <c r="O83" s="9">
        <v>2256</v>
      </c>
      <c r="P83" s="9">
        <v>9705</v>
      </c>
      <c r="Q83" s="9">
        <v>523.5</v>
      </c>
      <c r="R83" s="9">
        <v>770.7</v>
      </c>
      <c r="S83" s="9">
        <v>1.89</v>
      </c>
      <c r="T83" s="9">
        <v>3.0600999999999998</v>
      </c>
      <c r="U83" s="10">
        <v>830.75</v>
      </c>
      <c r="V83">
        <v>69.73</v>
      </c>
      <c r="W83">
        <v>73.75</v>
      </c>
      <c r="X83">
        <v>2.3119999999999998</v>
      </c>
    </row>
    <row r="84" spans="1:24" x14ac:dyDescent="0.25">
      <c r="A84" s="8"/>
      <c r="B84" s="9"/>
      <c r="C84" s="18">
        <v>46209</v>
      </c>
      <c r="D84" s="9">
        <v>628.5</v>
      </c>
      <c r="E84" s="9">
        <v>664.25</v>
      </c>
      <c r="F84" s="9">
        <v>6.51</v>
      </c>
      <c r="G84" s="9">
        <v>457.75</v>
      </c>
      <c r="H84" s="9">
        <v>1205.5</v>
      </c>
      <c r="I84" s="9">
        <v>313.5</v>
      </c>
      <c r="J84" s="9">
        <v>66.63</v>
      </c>
      <c r="K84" s="9">
        <v>4636</v>
      </c>
      <c r="L84" s="9">
        <v>9486</v>
      </c>
      <c r="M84" s="9">
        <v>3064</v>
      </c>
      <c r="N84" s="9">
        <v>8445</v>
      </c>
      <c r="O84" s="9">
        <v>2230</v>
      </c>
      <c r="P84" s="9">
        <v>9611</v>
      </c>
      <c r="Q84" s="9">
        <v>521.25</v>
      </c>
      <c r="R84" s="9">
        <v>766.1</v>
      </c>
      <c r="S84" s="9">
        <v>1.8875</v>
      </c>
      <c r="T84" s="9">
        <v>3.0367999999999999</v>
      </c>
      <c r="U84" s="10">
        <v>823.25</v>
      </c>
      <c r="V84">
        <v>68.430000000000007</v>
      </c>
      <c r="W84">
        <v>72.45</v>
      </c>
      <c r="X84">
        <v>2.3022</v>
      </c>
    </row>
    <row r="85" spans="1:24" x14ac:dyDescent="0.25">
      <c r="A85" s="11"/>
      <c r="B85" s="12"/>
      <c r="C85" s="18">
        <v>46206</v>
      </c>
      <c r="D85" s="9"/>
      <c r="E85" s="9"/>
      <c r="F85" s="9"/>
      <c r="G85" s="9"/>
      <c r="H85" s="9"/>
      <c r="I85" s="9"/>
      <c r="J85" s="9"/>
      <c r="K85" s="9">
        <v>4583</v>
      </c>
      <c r="L85" s="9">
        <v>9430</v>
      </c>
      <c r="M85" s="9">
        <v>3033</v>
      </c>
      <c r="N85" s="9">
        <v>8390</v>
      </c>
      <c r="O85" s="9">
        <v>2217</v>
      </c>
      <c r="P85" s="9">
        <v>9523</v>
      </c>
      <c r="Q85" s="9">
        <v>515.25</v>
      </c>
      <c r="R85" s="9">
        <v>747.8</v>
      </c>
      <c r="S85" s="9"/>
      <c r="T85" s="9"/>
      <c r="U85" s="10">
        <v>806.75</v>
      </c>
      <c r="W85">
        <v>72.25</v>
      </c>
    </row>
    <row r="86" spans="1:24" x14ac:dyDescent="0.25">
      <c r="A86" s="8"/>
      <c r="B86" s="9"/>
      <c r="C86" s="18">
        <v>46205</v>
      </c>
      <c r="D86" s="9">
        <v>614</v>
      </c>
      <c r="E86" s="9">
        <v>652.25</v>
      </c>
      <c r="F86" s="9">
        <v>6.4</v>
      </c>
      <c r="G86" s="9">
        <v>441.5</v>
      </c>
      <c r="H86" s="9">
        <v>1162.25</v>
      </c>
      <c r="I86" s="9">
        <v>304.39999999999998</v>
      </c>
      <c r="J86" s="9">
        <v>65.430000000000007</v>
      </c>
      <c r="K86" s="9">
        <v>4609</v>
      </c>
      <c r="L86" s="9">
        <v>9496</v>
      </c>
      <c r="M86" s="9">
        <v>3037</v>
      </c>
      <c r="N86" s="9">
        <v>8404</v>
      </c>
      <c r="O86" s="9">
        <v>2222</v>
      </c>
      <c r="P86" s="9">
        <v>9539</v>
      </c>
      <c r="Q86" s="9">
        <v>514.5</v>
      </c>
      <c r="R86" s="9">
        <v>745.4</v>
      </c>
      <c r="S86" s="9">
        <v>1.855</v>
      </c>
      <c r="T86" s="9">
        <v>2.9462999999999999</v>
      </c>
      <c r="U86" s="10">
        <v>793.5</v>
      </c>
      <c r="V86">
        <v>68.34</v>
      </c>
      <c r="W86">
        <v>72.3</v>
      </c>
      <c r="X86">
        <v>2.2624</v>
      </c>
    </row>
    <row r="87" spans="1:24" x14ac:dyDescent="0.25">
      <c r="A87" s="11"/>
      <c r="B87" s="12"/>
      <c r="C87" s="18">
        <v>46204</v>
      </c>
      <c r="D87" s="9">
        <v>614.5</v>
      </c>
      <c r="E87" s="9">
        <v>649</v>
      </c>
      <c r="F87" s="9">
        <v>6.4175000000000004</v>
      </c>
      <c r="G87" s="9">
        <v>442.25</v>
      </c>
      <c r="H87" s="9">
        <v>1163.75</v>
      </c>
      <c r="I87" s="9">
        <v>304.7</v>
      </c>
      <c r="J87" s="9">
        <v>65.42</v>
      </c>
      <c r="K87" s="9">
        <v>4654</v>
      </c>
      <c r="L87" s="9">
        <v>9506</v>
      </c>
      <c r="M87" s="9">
        <v>3011</v>
      </c>
      <c r="N87" s="9">
        <v>8367</v>
      </c>
      <c r="O87" s="9">
        <v>2209</v>
      </c>
      <c r="P87" s="9">
        <v>9531</v>
      </c>
      <c r="Q87" s="9">
        <v>516.75</v>
      </c>
      <c r="R87" s="9"/>
      <c r="S87" s="9">
        <v>1.8374999999999999</v>
      </c>
      <c r="T87" s="9">
        <v>2.9590000000000001</v>
      </c>
      <c r="U87" s="10">
        <v>802</v>
      </c>
      <c r="V87">
        <v>68.13</v>
      </c>
      <c r="W87">
        <v>72.069999999999993</v>
      </c>
      <c r="X87">
        <v>2.2692000000000001</v>
      </c>
    </row>
    <row r="88" spans="1:24" x14ac:dyDescent="0.25">
      <c r="A88" s="8"/>
      <c r="B88" s="9"/>
      <c r="C88" s="18">
        <v>46203</v>
      </c>
      <c r="D88" s="9">
        <v>604.5</v>
      </c>
      <c r="E88" s="9">
        <v>640.25</v>
      </c>
      <c r="F88" s="9">
        <v>6.3150000000000004</v>
      </c>
      <c r="G88" s="9">
        <v>436</v>
      </c>
      <c r="H88" s="9">
        <v>1158.75</v>
      </c>
      <c r="I88" s="9">
        <v>303.10000000000002</v>
      </c>
      <c r="J88" s="9">
        <v>65.349999999999994</v>
      </c>
      <c r="K88" s="9">
        <v>4638</v>
      </c>
      <c r="L88" s="9">
        <v>9570</v>
      </c>
      <c r="M88" s="9">
        <v>3008</v>
      </c>
      <c r="N88" s="9">
        <v>8408</v>
      </c>
      <c r="O88" s="9">
        <v>2218</v>
      </c>
      <c r="P88" s="9">
        <v>9647</v>
      </c>
      <c r="Q88" s="9">
        <v>512.75</v>
      </c>
      <c r="R88" s="9">
        <v>743.9</v>
      </c>
      <c r="S88" s="9">
        <v>1.83</v>
      </c>
      <c r="T88" s="9">
        <v>2.9624000000000001</v>
      </c>
      <c r="U88" s="10">
        <v>804.75</v>
      </c>
      <c r="V88">
        <v>68.349999999999994</v>
      </c>
      <c r="W88">
        <v>72.48</v>
      </c>
      <c r="X88">
        <v>2.2494999999999998</v>
      </c>
    </row>
    <row r="89" spans="1:24" x14ac:dyDescent="0.25">
      <c r="A89" s="11"/>
      <c r="B89" s="12"/>
      <c r="C89" s="18">
        <v>46202</v>
      </c>
      <c r="D89" s="9">
        <v>597</v>
      </c>
      <c r="E89" s="9">
        <v>629.5</v>
      </c>
      <c r="F89" s="9">
        <v>6.2549999999999999</v>
      </c>
      <c r="G89" s="9">
        <v>430</v>
      </c>
      <c r="H89" s="9">
        <v>1153.5</v>
      </c>
      <c r="I89" s="9">
        <v>302.8</v>
      </c>
      <c r="J89" s="9">
        <v>66.650000000000006</v>
      </c>
      <c r="K89" s="9">
        <v>4671</v>
      </c>
      <c r="L89" s="9">
        <v>9565</v>
      </c>
      <c r="M89" s="9">
        <v>3021</v>
      </c>
      <c r="N89" s="9">
        <v>8418</v>
      </c>
      <c r="O89" s="9">
        <v>2240</v>
      </c>
      <c r="P89" s="9">
        <v>9654</v>
      </c>
      <c r="Q89" s="9">
        <v>519.25</v>
      </c>
      <c r="R89" s="9">
        <v>752.7</v>
      </c>
      <c r="S89" s="9">
        <v>1.8274999999999999</v>
      </c>
      <c r="T89" s="9">
        <v>2.9247999999999998</v>
      </c>
      <c r="U89" s="10">
        <v>794.75</v>
      </c>
      <c r="V89">
        <v>69.13</v>
      </c>
      <c r="W89">
        <v>72.97</v>
      </c>
      <c r="X89">
        <v>2.2616999999999998</v>
      </c>
    </row>
    <row r="90" spans="1:24" x14ac:dyDescent="0.25">
      <c r="A90" s="8"/>
      <c r="B90" s="9"/>
      <c r="C90" s="18">
        <v>46199</v>
      </c>
      <c r="D90" s="9">
        <v>607.25</v>
      </c>
      <c r="E90" s="9">
        <v>634.5</v>
      </c>
      <c r="F90" s="9">
        <v>6.3025000000000002</v>
      </c>
      <c r="G90" s="9">
        <v>441.5</v>
      </c>
      <c r="H90" s="9">
        <v>1170.5</v>
      </c>
      <c r="I90" s="9">
        <v>304.5</v>
      </c>
      <c r="J90" s="9">
        <v>67.09</v>
      </c>
      <c r="K90" s="9">
        <v>4650</v>
      </c>
      <c r="L90" s="9">
        <v>9519</v>
      </c>
      <c r="M90" s="9">
        <v>3019</v>
      </c>
      <c r="N90" s="9">
        <v>8368</v>
      </c>
      <c r="O90" s="9">
        <v>2232</v>
      </c>
      <c r="P90" s="9">
        <v>9563</v>
      </c>
      <c r="Q90" s="9">
        <v>517.75</v>
      </c>
      <c r="R90" s="9">
        <v>753.4</v>
      </c>
      <c r="S90" s="9">
        <v>1.8425</v>
      </c>
      <c r="T90" s="9">
        <v>2.8618999999999999</v>
      </c>
      <c r="U90" s="10">
        <v>775</v>
      </c>
      <c r="V90">
        <v>67.900000000000006</v>
      </c>
      <c r="W90">
        <v>71.849999999999994</v>
      </c>
      <c r="X90">
        <v>2.2185999999999999</v>
      </c>
    </row>
    <row r="91" spans="1:24" x14ac:dyDescent="0.25">
      <c r="A91" s="11"/>
      <c r="B91" s="12"/>
      <c r="C91" s="18">
        <v>46198</v>
      </c>
      <c r="D91" s="9">
        <v>618.25</v>
      </c>
      <c r="E91" s="9">
        <v>645.75</v>
      </c>
      <c r="F91" s="9">
        <v>6.3925000000000001</v>
      </c>
      <c r="G91" s="9">
        <v>443</v>
      </c>
      <c r="H91" s="9">
        <v>1171</v>
      </c>
      <c r="I91" s="9">
        <v>305</v>
      </c>
      <c r="J91" s="9">
        <v>67.19</v>
      </c>
      <c r="K91" s="9">
        <v>4642</v>
      </c>
      <c r="L91" s="9">
        <v>9421</v>
      </c>
      <c r="M91" s="9">
        <v>3001</v>
      </c>
      <c r="N91" s="9">
        <v>8302</v>
      </c>
      <c r="O91" s="9">
        <v>2222</v>
      </c>
      <c r="P91" s="9">
        <v>9529</v>
      </c>
      <c r="Q91" s="9">
        <v>523</v>
      </c>
      <c r="R91" s="9">
        <v>756.7</v>
      </c>
      <c r="S91" s="9">
        <v>1.8225</v>
      </c>
      <c r="T91" s="9">
        <v>2.9460999999999999</v>
      </c>
      <c r="U91" s="10">
        <v>797.75</v>
      </c>
      <c r="V91">
        <v>69.989999999999995</v>
      </c>
      <c r="W91">
        <v>74.06</v>
      </c>
      <c r="X91">
        <v>2.2757000000000001</v>
      </c>
    </row>
    <row r="92" spans="1:24" x14ac:dyDescent="0.25">
      <c r="A92" s="8"/>
      <c r="B92" s="9"/>
      <c r="C92" s="18">
        <v>46197</v>
      </c>
      <c r="D92" s="9">
        <v>612.75</v>
      </c>
      <c r="E92" s="9">
        <v>640.75</v>
      </c>
      <c r="F92" s="9">
        <v>6.4050000000000002</v>
      </c>
      <c r="G92" s="9">
        <v>434.75</v>
      </c>
      <c r="H92" s="9">
        <v>1149</v>
      </c>
      <c r="I92" s="9">
        <v>300.10000000000002</v>
      </c>
      <c r="J92" s="9">
        <v>65.739999999999995</v>
      </c>
      <c r="K92" s="9">
        <v>4729</v>
      </c>
      <c r="L92" s="9">
        <v>9599</v>
      </c>
      <c r="M92" s="9">
        <v>3005</v>
      </c>
      <c r="N92" s="9">
        <v>8333</v>
      </c>
      <c r="O92" s="9">
        <v>2242</v>
      </c>
      <c r="P92" s="9">
        <v>9674</v>
      </c>
      <c r="Q92" s="9">
        <v>520.5</v>
      </c>
      <c r="R92" s="9">
        <v>753.6</v>
      </c>
      <c r="S92" s="9">
        <v>1.7849999999999999</v>
      </c>
      <c r="T92" s="9">
        <v>2.8942000000000001</v>
      </c>
      <c r="U92" s="10">
        <v>785.5</v>
      </c>
      <c r="V92">
        <v>68.510000000000005</v>
      </c>
      <c r="W92">
        <v>72.72</v>
      </c>
      <c r="X92">
        <v>2.2351999999999999</v>
      </c>
    </row>
    <row r="93" spans="1:24" x14ac:dyDescent="0.25">
      <c r="A93" s="11"/>
      <c r="B93" s="12"/>
      <c r="C93" s="18">
        <v>46196</v>
      </c>
      <c r="D93" s="9">
        <v>613.75</v>
      </c>
      <c r="E93" s="9">
        <v>639.5</v>
      </c>
      <c r="F93" s="9">
        <v>6.4124999999999996</v>
      </c>
      <c r="G93" s="9">
        <v>437.25</v>
      </c>
      <c r="H93" s="9">
        <v>1156</v>
      </c>
      <c r="I93" s="9">
        <v>301.3</v>
      </c>
      <c r="J93" s="9">
        <v>66.58</v>
      </c>
      <c r="K93" s="9">
        <v>4753</v>
      </c>
      <c r="L93" s="9">
        <v>9644</v>
      </c>
      <c r="M93" s="9">
        <v>2992</v>
      </c>
      <c r="N93" s="9">
        <v>8315</v>
      </c>
      <c r="O93" s="9">
        <v>2221</v>
      </c>
      <c r="P93" s="9">
        <v>9642</v>
      </c>
      <c r="Q93" s="9">
        <v>521.5</v>
      </c>
      <c r="R93" s="9">
        <v>757.2</v>
      </c>
      <c r="S93" s="9">
        <v>1.7749999999999999</v>
      </c>
      <c r="T93" s="9">
        <v>2.9384000000000001</v>
      </c>
      <c r="U93" s="10">
        <v>801.5</v>
      </c>
      <c r="V93">
        <v>70.73</v>
      </c>
      <c r="W93">
        <v>75.02</v>
      </c>
      <c r="X93">
        <v>2.29</v>
      </c>
    </row>
    <row r="94" spans="1:24" x14ac:dyDescent="0.25">
      <c r="A94" s="8"/>
      <c r="B94" s="9"/>
      <c r="C94" s="18">
        <v>46195</v>
      </c>
      <c r="D94" s="9">
        <v>624</v>
      </c>
      <c r="E94" s="9">
        <v>654.25</v>
      </c>
      <c r="F94" s="9">
        <v>6.6150000000000002</v>
      </c>
      <c r="G94" s="9">
        <v>439.5</v>
      </c>
      <c r="H94" s="9">
        <v>1155.75</v>
      </c>
      <c r="I94" s="9">
        <v>303.39999999999998</v>
      </c>
      <c r="J94" s="9">
        <v>66.900000000000006</v>
      </c>
      <c r="K94" s="9">
        <v>4772</v>
      </c>
      <c r="L94" s="9">
        <v>9634</v>
      </c>
      <c r="M94" s="9">
        <v>2997</v>
      </c>
      <c r="N94" s="9">
        <v>8331</v>
      </c>
      <c r="O94" s="9">
        <v>2219</v>
      </c>
      <c r="P94" s="9">
        <v>9656</v>
      </c>
      <c r="Q94" s="9">
        <v>516.75</v>
      </c>
      <c r="R94" s="9">
        <v>751.7</v>
      </c>
      <c r="S94" s="9">
        <v>1.7825</v>
      </c>
      <c r="T94" s="9">
        <v>2.9146999999999998</v>
      </c>
      <c r="U94" s="10">
        <v>801.25</v>
      </c>
      <c r="V94">
        <v>70.989999999999995</v>
      </c>
      <c r="W94">
        <v>75.36</v>
      </c>
      <c r="X94">
        <v>2.2972999999999999</v>
      </c>
    </row>
    <row r="95" spans="1:24" x14ac:dyDescent="0.25">
      <c r="A95" s="11"/>
      <c r="B95" s="12"/>
      <c r="C95" s="18">
        <v>46192</v>
      </c>
      <c r="D95" s="9"/>
      <c r="E95" s="9"/>
      <c r="F95" s="9"/>
      <c r="G95" s="9"/>
      <c r="H95" s="9"/>
      <c r="I95" s="9"/>
      <c r="J95" s="9"/>
      <c r="K95" s="9">
        <v>4728</v>
      </c>
      <c r="L95" s="9"/>
      <c r="M95" s="9"/>
      <c r="N95" s="9"/>
      <c r="O95" s="9"/>
      <c r="P95" s="9"/>
      <c r="Q95" s="9">
        <v>510.25</v>
      </c>
      <c r="R95" s="9">
        <v>741.2</v>
      </c>
      <c r="S95" s="9"/>
      <c r="T95" s="9"/>
      <c r="U95" s="10">
        <v>820.5</v>
      </c>
      <c r="W95">
        <v>77.14</v>
      </c>
    </row>
    <row r="96" spans="1:24" x14ac:dyDescent="0.25">
      <c r="A96" s="8"/>
      <c r="B96" s="9"/>
      <c r="C96" s="18">
        <v>46191</v>
      </c>
      <c r="D96" s="9">
        <v>630.25</v>
      </c>
      <c r="E96" s="9">
        <v>665.75</v>
      </c>
      <c r="F96" s="9">
        <v>6.7050000000000001</v>
      </c>
      <c r="G96" s="9">
        <v>444</v>
      </c>
      <c r="H96" s="9">
        <v>1156.5</v>
      </c>
      <c r="I96" s="9">
        <v>303.3</v>
      </c>
      <c r="J96" s="9">
        <v>65.8</v>
      </c>
      <c r="K96" s="9">
        <v>4683</v>
      </c>
      <c r="L96" s="9">
        <v>9585</v>
      </c>
      <c r="M96" s="9">
        <v>3011</v>
      </c>
      <c r="N96" s="9">
        <v>8325</v>
      </c>
      <c r="O96" s="9">
        <v>2225</v>
      </c>
      <c r="P96" s="9">
        <v>9696</v>
      </c>
      <c r="Q96" s="9">
        <v>509</v>
      </c>
      <c r="R96" s="9">
        <v>742.2</v>
      </c>
      <c r="S96" s="9">
        <v>1.8125</v>
      </c>
      <c r="T96" s="9">
        <v>2.9483000000000001</v>
      </c>
      <c r="U96" s="10">
        <v>792.5</v>
      </c>
      <c r="V96">
        <v>72.489999999999995</v>
      </c>
      <c r="W96">
        <v>76.81</v>
      </c>
      <c r="X96">
        <v>2.3290000000000002</v>
      </c>
    </row>
    <row r="97" spans="1:24" x14ac:dyDescent="0.25">
      <c r="A97" s="11"/>
      <c r="B97" s="12"/>
      <c r="C97" s="18">
        <v>46190</v>
      </c>
      <c r="D97" s="9">
        <v>636.75</v>
      </c>
      <c r="E97" s="9">
        <v>673.75</v>
      </c>
      <c r="F97" s="9">
        <v>6.7024999999999997</v>
      </c>
      <c r="G97" s="9">
        <v>448.75</v>
      </c>
      <c r="H97" s="9">
        <v>1163</v>
      </c>
      <c r="I97" s="9">
        <v>306.10000000000002</v>
      </c>
      <c r="J97" s="9">
        <v>67.17</v>
      </c>
      <c r="K97" s="9"/>
      <c r="L97" s="9">
        <v>9616</v>
      </c>
      <c r="M97" s="9">
        <v>3020</v>
      </c>
      <c r="N97" s="9">
        <v>8346</v>
      </c>
      <c r="O97" s="9">
        <v>2229</v>
      </c>
      <c r="P97" s="9">
        <v>9772</v>
      </c>
      <c r="Q97" s="9">
        <v>516</v>
      </c>
      <c r="R97" s="9">
        <v>755.1</v>
      </c>
      <c r="S97" s="9">
        <v>1.7875000000000001</v>
      </c>
      <c r="T97" s="9">
        <v>2.9929000000000001</v>
      </c>
      <c r="U97" s="10">
        <v>825.5</v>
      </c>
      <c r="V97">
        <v>72.569999999999993</v>
      </c>
      <c r="W97">
        <v>76.72</v>
      </c>
      <c r="X97">
        <v>2.3241999999999998</v>
      </c>
    </row>
    <row r="98" spans="1:24" x14ac:dyDescent="0.25">
      <c r="A98" s="8"/>
      <c r="B98" s="9"/>
      <c r="C98" s="18">
        <v>46189</v>
      </c>
      <c r="D98" s="9">
        <v>621.75</v>
      </c>
      <c r="E98" s="9">
        <v>656.25</v>
      </c>
      <c r="F98" s="9">
        <v>6.5750000000000002</v>
      </c>
      <c r="G98" s="9">
        <v>442.5</v>
      </c>
      <c r="H98" s="9">
        <v>1160.25</v>
      </c>
      <c r="I98" s="9">
        <v>307.2</v>
      </c>
      <c r="J98" s="9">
        <v>68.040000000000006</v>
      </c>
      <c r="K98" s="9">
        <v>4682</v>
      </c>
      <c r="L98" s="9">
        <v>9519</v>
      </c>
      <c r="M98" s="9">
        <v>2997</v>
      </c>
      <c r="N98" s="9">
        <v>8279</v>
      </c>
      <c r="O98" s="9">
        <v>2214</v>
      </c>
      <c r="P98" s="9">
        <v>9770</v>
      </c>
      <c r="Q98" s="9">
        <v>515</v>
      </c>
      <c r="R98" s="9">
        <v>762.4</v>
      </c>
      <c r="S98" s="9">
        <v>1.7849999999999999</v>
      </c>
      <c r="T98" s="9">
        <v>2.9992999999999999</v>
      </c>
      <c r="U98" s="10">
        <v>826</v>
      </c>
      <c r="V98">
        <v>72.5</v>
      </c>
      <c r="W98">
        <v>76.66</v>
      </c>
      <c r="X98">
        <v>2.335</v>
      </c>
    </row>
    <row r="99" spans="1:24" x14ac:dyDescent="0.25">
      <c r="A99" s="11"/>
      <c r="B99" s="12"/>
      <c r="C99" s="18">
        <v>46188</v>
      </c>
      <c r="D99" s="9">
        <v>616.75</v>
      </c>
      <c r="E99" s="9">
        <v>658.5</v>
      </c>
      <c r="F99" s="9">
        <v>6.62</v>
      </c>
      <c r="G99" s="9">
        <v>441.75</v>
      </c>
      <c r="H99" s="9">
        <v>1149.5</v>
      </c>
      <c r="I99" s="9">
        <v>305.60000000000002</v>
      </c>
      <c r="J99" s="9">
        <v>69.31</v>
      </c>
      <c r="K99" s="9">
        <v>4595</v>
      </c>
      <c r="L99" s="9">
        <v>9507</v>
      </c>
      <c r="M99" s="9">
        <v>2999</v>
      </c>
      <c r="N99" s="9">
        <v>8290</v>
      </c>
      <c r="O99" s="9">
        <v>2214</v>
      </c>
      <c r="P99" s="9">
        <v>9803</v>
      </c>
      <c r="Q99" s="9">
        <v>519.25</v>
      </c>
      <c r="R99" s="9">
        <v>768.7</v>
      </c>
      <c r="S99" s="9">
        <v>1.8149999999999999</v>
      </c>
      <c r="T99" s="9">
        <v>3.081</v>
      </c>
      <c r="U99" s="10">
        <v>846.75</v>
      </c>
      <c r="V99">
        <v>74.72</v>
      </c>
      <c r="W99">
        <v>78.87</v>
      </c>
      <c r="X99">
        <v>2.3950999999999998</v>
      </c>
    </row>
    <row r="100" spans="1:24" x14ac:dyDescent="0.25">
      <c r="A100" s="8"/>
      <c r="B100" s="9"/>
      <c r="C100" s="18">
        <v>46185</v>
      </c>
      <c r="D100" s="9">
        <v>612</v>
      </c>
      <c r="E100" s="9">
        <v>654</v>
      </c>
      <c r="F100" s="9">
        <v>6.6475</v>
      </c>
      <c r="G100" s="9">
        <v>440.25</v>
      </c>
      <c r="H100" s="9">
        <v>1147</v>
      </c>
      <c r="I100" s="9">
        <v>304.8</v>
      </c>
      <c r="J100" s="9">
        <v>69.67</v>
      </c>
      <c r="K100" s="9">
        <v>4619</v>
      </c>
      <c r="L100" s="9">
        <v>9626</v>
      </c>
      <c r="M100" s="9">
        <v>3000</v>
      </c>
      <c r="N100" s="9">
        <v>8331</v>
      </c>
      <c r="O100" s="9">
        <v>2210</v>
      </c>
      <c r="P100" s="9">
        <v>9858</v>
      </c>
      <c r="Q100" s="9">
        <v>528</v>
      </c>
      <c r="R100" s="9">
        <v>774.2</v>
      </c>
      <c r="S100" s="9">
        <v>1.85</v>
      </c>
      <c r="T100" s="9">
        <v>3.1844000000000001</v>
      </c>
      <c r="U100" s="10">
        <v>871.25</v>
      </c>
      <c r="V100">
        <v>77.41</v>
      </c>
      <c r="W100">
        <v>81.69</v>
      </c>
      <c r="X100">
        <v>2.4579</v>
      </c>
    </row>
    <row r="101" spans="1:24" x14ac:dyDescent="0.25">
      <c r="A101" s="11"/>
      <c r="B101" s="12"/>
      <c r="C101" s="18">
        <v>46184</v>
      </c>
      <c r="D101" s="9">
        <v>614.75</v>
      </c>
      <c r="E101" s="9">
        <v>656.25</v>
      </c>
      <c r="F101" s="9">
        <v>6.68</v>
      </c>
      <c r="G101" s="9">
        <v>439.5</v>
      </c>
      <c r="H101" s="9">
        <v>1148</v>
      </c>
      <c r="I101" s="9">
        <v>304.5</v>
      </c>
      <c r="J101" s="9">
        <v>70.14</v>
      </c>
      <c r="K101" s="9">
        <v>4712</v>
      </c>
      <c r="L101" s="9">
        <v>9645</v>
      </c>
      <c r="M101" s="9">
        <v>3000</v>
      </c>
      <c r="N101" s="9">
        <v>8336</v>
      </c>
      <c r="O101" s="9">
        <v>2210</v>
      </c>
      <c r="P101" s="9">
        <v>9917</v>
      </c>
      <c r="Q101" s="9">
        <v>533.25</v>
      </c>
      <c r="R101" s="9">
        <v>781.2</v>
      </c>
      <c r="S101" s="9">
        <v>1.8425</v>
      </c>
      <c r="T101" s="9">
        <v>3.2968000000000002</v>
      </c>
      <c r="U101" s="10">
        <v>929.25</v>
      </c>
      <c r="V101">
        <v>80.31</v>
      </c>
      <c r="W101">
        <v>84.62</v>
      </c>
      <c r="X101">
        <v>2.5240999999999998</v>
      </c>
    </row>
    <row r="102" spans="1:24" x14ac:dyDescent="0.25">
      <c r="A102" s="8"/>
      <c r="B102" s="9"/>
      <c r="C102" s="18">
        <v>46183</v>
      </c>
      <c r="D102" s="9">
        <v>617.25</v>
      </c>
      <c r="E102" s="9">
        <v>655.5</v>
      </c>
      <c r="F102" s="9">
        <v>6.665</v>
      </c>
      <c r="G102" s="9">
        <v>446.75</v>
      </c>
      <c r="H102" s="9">
        <v>1152.25</v>
      </c>
      <c r="I102" s="9">
        <v>305.5</v>
      </c>
      <c r="J102" s="9">
        <v>70.930000000000007</v>
      </c>
      <c r="K102" s="9">
        <v>4703</v>
      </c>
      <c r="L102" s="9">
        <v>9570</v>
      </c>
      <c r="M102" s="9">
        <v>2980</v>
      </c>
      <c r="N102" s="9">
        <v>8297</v>
      </c>
      <c r="O102" s="9">
        <v>2196</v>
      </c>
      <c r="P102" s="9">
        <v>9866</v>
      </c>
      <c r="Q102" s="9">
        <v>533.25</v>
      </c>
      <c r="R102" s="9">
        <v>783.2</v>
      </c>
      <c r="S102" s="9">
        <v>1.8674999999999999</v>
      </c>
      <c r="T102" s="9">
        <v>3.3746</v>
      </c>
      <c r="U102" s="10">
        <v>924.25</v>
      </c>
      <c r="V102">
        <v>81.52</v>
      </c>
      <c r="W102">
        <v>85.89</v>
      </c>
      <c r="X102">
        <v>2.5583</v>
      </c>
    </row>
    <row r="103" spans="1:24" x14ac:dyDescent="0.25">
      <c r="A103" s="11"/>
      <c r="B103" s="12"/>
      <c r="C103" s="18">
        <v>46182</v>
      </c>
      <c r="D103" s="9">
        <v>614.25</v>
      </c>
      <c r="E103" s="9">
        <v>654.5</v>
      </c>
      <c r="F103" s="9">
        <v>6.6574999999999998</v>
      </c>
      <c r="G103" s="9">
        <v>445.25</v>
      </c>
      <c r="H103" s="9">
        <v>1146.25</v>
      </c>
      <c r="I103" s="9">
        <v>306.39999999999998</v>
      </c>
      <c r="J103" s="9">
        <v>70.58</v>
      </c>
      <c r="K103" s="9">
        <v>4692</v>
      </c>
      <c r="L103" s="9">
        <v>9609</v>
      </c>
      <c r="M103" s="9">
        <v>2978</v>
      </c>
      <c r="N103" s="9">
        <v>8307</v>
      </c>
      <c r="O103" s="9">
        <v>2202</v>
      </c>
      <c r="P103" s="9">
        <v>9910</v>
      </c>
      <c r="Q103" s="9">
        <v>526.25</v>
      </c>
      <c r="R103" s="9">
        <v>776.8</v>
      </c>
      <c r="S103" s="9">
        <v>1.8774999999999999</v>
      </c>
      <c r="T103" s="9">
        <v>3.3283999999999998</v>
      </c>
      <c r="U103" s="10">
        <v>912.5</v>
      </c>
      <c r="V103">
        <v>80.06</v>
      </c>
      <c r="W103">
        <v>84.58</v>
      </c>
      <c r="X103">
        <v>2.5270999999999999</v>
      </c>
    </row>
    <row r="104" spans="1:24" x14ac:dyDescent="0.25">
      <c r="A104" s="8"/>
      <c r="B104" s="9"/>
      <c r="C104" s="18">
        <v>46181</v>
      </c>
      <c r="D104" s="9">
        <v>613.75</v>
      </c>
      <c r="E104" s="9">
        <v>654.25</v>
      </c>
      <c r="F104" s="9">
        <v>6.665</v>
      </c>
      <c r="G104" s="9">
        <v>446</v>
      </c>
      <c r="H104" s="9">
        <v>1150</v>
      </c>
      <c r="I104" s="9">
        <v>309.10000000000002</v>
      </c>
      <c r="J104" s="9">
        <v>70.709999999999994</v>
      </c>
      <c r="K104" s="9">
        <v>4726</v>
      </c>
      <c r="L104" s="9">
        <v>9672</v>
      </c>
      <c r="M104" s="9">
        <v>2984</v>
      </c>
      <c r="N104" s="9">
        <v>8367</v>
      </c>
      <c r="O104" s="9">
        <v>2209</v>
      </c>
      <c r="P104" s="9">
        <v>9990</v>
      </c>
      <c r="Q104" s="9">
        <v>527.5</v>
      </c>
      <c r="R104" s="9">
        <v>777.1</v>
      </c>
      <c r="S104" s="9">
        <v>1.89</v>
      </c>
      <c r="T104" s="9">
        <v>3.3683000000000001</v>
      </c>
      <c r="U104" s="10">
        <v>936</v>
      </c>
      <c r="V104">
        <v>81.45</v>
      </c>
      <c r="W104">
        <v>85.96</v>
      </c>
      <c r="X104">
        <v>2.5565000000000002</v>
      </c>
    </row>
    <row r="105" spans="1:24" x14ac:dyDescent="0.25">
      <c r="A105" s="11"/>
      <c r="B105" s="12"/>
      <c r="C105" s="18">
        <v>46178</v>
      </c>
      <c r="D105" s="9">
        <v>611.5</v>
      </c>
      <c r="E105" s="9">
        <v>646.75</v>
      </c>
      <c r="F105" s="9">
        <v>6.6974999999999998</v>
      </c>
      <c r="G105" s="9">
        <v>446</v>
      </c>
      <c r="H105" s="9">
        <v>1152.25</v>
      </c>
      <c r="I105" s="9">
        <v>311.2</v>
      </c>
      <c r="J105" s="9">
        <v>70.81</v>
      </c>
      <c r="K105" s="9">
        <v>4699</v>
      </c>
      <c r="L105" s="9">
        <v>9760</v>
      </c>
      <c r="M105" s="9">
        <v>2996</v>
      </c>
      <c r="N105" s="9">
        <v>8428</v>
      </c>
      <c r="O105" s="9">
        <v>2223</v>
      </c>
      <c r="P105" s="9">
        <v>10069</v>
      </c>
      <c r="Q105" s="9">
        <v>525.75</v>
      </c>
      <c r="R105" s="9">
        <v>771.9</v>
      </c>
      <c r="S105" s="9">
        <v>1.9</v>
      </c>
      <c r="T105" s="9">
        <v>3.3327</v>
      </c>
      <c r="U105" s="10">
        <v>922.5</v>
      </c>
      <c r="V105">
        <v>79.459999999999994</v>
      </c>
      <c r="W105">
        <v>84.12</v>
      </c>
      <c r="X105">
        <v>2.5133999999999999</v>
      </c>
    </row>
    <row r="106" spans="1:24" x14ac:dyDescent="0.25">
      <c r="A106" s="8"/>
      <c r="B106" s="9"/>
      <c r="C106" s="18">
        <v>46177</v>
      </c>
      <c r="D106" s="9">
        <v>613.5</v>
      </c>
      <c r="E106" s="9">
        <v>648.5</v>
      </c>
      <c r="F106" s="9">
        <v>6.69</v>
      </c>
      <c r="G106" s="9">
        <v>451.75</v>
      </c>
      <c r="H106" s="9">
        <v>1156.25</v>
      </c>
      <c r="I106" s="9">
        <v>313.3</v>
      </c>
      <c r="J106" s="9">
        <v>72.25</v>
      </c>
      <c r="K106" s="9">
        <v>4733</v>
      </c>
      <c r="L106" s="9">
        <v>9967</v>
      </c>
      <c r="M106" s="9">
        <v>3024</v>
      </c>
      <c r="N106" s="9">
        <v>8553</v>
      </c>
      <c r="O106" s="9">
        <v>2245</v>
      </c>
      <c r="P106" s="9">
        <v>10258</v>
      </c>
      <c r="Q106" s="9">
        <v>528.25</v>
      </c>
      <c r="R106" s="9">
        <v>793.9</v>
      </c>
      <c r="S106" s="9">
        <v>1.895</v>
      </c>
      <c r="T106" s="9">
        <v>3.3761999999999999</v>
      </c>
      <c r="U106" s="10">
        <v>925.5</v>
      </c>
      <c r="V106">
        <v>80.459999999999994</v>
      </c>
      <c r="W106">
        <v>85.04</v>
      </c>
      <c r="X106">
        <v>2.5308000000000002</v>
      </c>
    </row>
    <row r="107" spans="1:24" x14ac:dyDescent="0.25">
      <c r="A107" s="11"/>
      <c r="B107" s="12"/>
      <c r="C107" s="18">
        <v>46176</v>
      </c>
      <c r="D107" s="9">
        <v>620.5</v>
      </c>
      <c r="E107" s="9">
        <v>652</v>
      </c>
      <c r="F107" s="9">
        <v>6.7175000000000002</v>
      </c>
      <c r="G107" s="9">
        <v>459.75</v>
      </c>
      <c r="H107" s="9">
        <v>1181.75</v>
      </c>
      <c r="I107" s="9">
        <v>319.2</v>
      </c>
      <c r="J107" s="9">
        <v>74</v>
      </c>
      <c r="K107" s="9">
        <v>4804</v>
      </c>
      <c r="L107" s="9">
        <v>9963</v>
      </c>
      <c r="M107" s="9">
        <v>3032</v>
      </c>
      <c r="N107" s="9">
        <v>8547</v>
      </c>
      <c r="O107" s="9">
        <v>2253</v>
      </c>
      <c r="P107" s="9">
        <v>10108</v>
      </c>
      <c r="Q107" s="9">
        <v>538.5</v>
      </c>
      <c r="R107" s="9">
        <v>808</v>
      </c>
      <c r="S107" s="9">
        <v>1.91</v>
      </c>
      <c r="T107" s="9">
        <v>3.4841000000000002</v>
      </c>
      <c r="U107" s="10">
        <v>948</v>
      </c>
      <c r="V107">
        <v>82.42</v>
      </c>
      <c r="W107">
        <v>86.91</v>
      </c>
      <c r="X107">
        <v>2.5895000000000001</v>
      </c>
    </row>
    <row r="108" spans="1:24" x14ac:dyDescent="0.25">
      <c r="A108" s="8"/>
      <c r="B108" s="9"/>
      <c r="C108" s="18">
        <v>46175</v>
      </c>
      <c r="D108" s="9">
        <v>635.25</v>
      </c>
      <c r="E108" s="9">
        <v>662.25</v>
      </c>
      <c r="F108" s="9">
        <v>6.8150000000000004</v>
      </c>
      <c r="G108" s="9">
        <v>466.5</v>
      </c>
      <c r="H108" s="9">
        <v>1191.75</v>
      </c>
      <c r="I108" s="9">
        <v>320</v>
      </c>
      <c r="J108" s="9">
        <v>73.290000000000006</v>
      </c>
      <c r="K108" s="9"/>
      <c r="L108" s="9">
        <v>9949</v>
      </c>
      <c r="M108" s="9">
        <v>3039</v>
      </c>
      <c r="N108" s="9">
        <v>8555</v>
      </c>
      <c r="O108" s="9">
        <v>2264</v>
      </c>
      <c r="P108" s="9">
        <v>9931</v>
      </c>
      <c r="Q108" s="9">
        <v>532.5</v>
      </c>
      <c r="R108" s="9">
        <v>789.1</v>
      </c>
      <c r="S108" s="9">
        <v>1.9275</v>
      </c>
      <c r="T108" s="9">
        <v>3.3774999999999999</v>
      </c>
      <c r="U108" s="10">
        <v>918</v>
      </c>
      <c r="V108">
        <v>80.959999999999994</v>
      </c>
      <c r="W108">
        <v>85.99</v>
      </c>
      <c r="X108">
        <v>2.5537999999999998</v>
      </c>
    </row>
    <row r="109" spans="1:24" x14ac:dyDescent="0.25">
      <c r="A109" s="11"/>
      <c r="B109" s="12"/>
      <c r="C109" s="18">
        <v>46174</v>
      </c>
      <c r="D109" s="9">
        <v>640.5</v>
      </c>
      <c r="E109" s="9">
        <v>673.5</v>
      </c>
      <c r="F109" s="9">
        <v>6.9424999999999999</v>
      </c>
      <c r="G109" s="9">
        <v>472.5</v>
      </c>
      <c r="H109" s="9">
        <v>1202.5</v>
      </c>
      <c r="I109" s="9">
        <v>319.10000000000002</v>
      </c>
      <c r="J109" s="9">
        <v>73.83</v>
      </c>
      <c r="K109" s="9"/>
      <c r="L109" s="9">
        <v>9903</v>
      </c>
      <c r="M109" s="9">
        <v>3046</v>
      </c>
      <c r="N109" s="9">
        <v>8549</v>
      </c>
      <c r="O109" s="9">
        <v>2259</v>
      </c>
      <c r="P109" s="9">
        <v>9892</v>
      </c>
      <c r="Q109" s="9">
        <v>533.5</v>
      </c>
      <c r="R109" s="9">
        <v>793.7</v>
      </c>
      <c r="S109" s="9">
        <v>1.9450000000000001</v>
      </c>
      <c r="T109" s="9">
        <v>3.3275000000000001</v>
      </c>
      <c r="U109" s="10">
        <v>926.5</v>
      </c>
      <c r="V109">
        <v>80.23</v>
      </c>
      <c r="W109">
        <v>84.88</v>
      </c>
      <c r="X109">
        <v>2.5142000000000002</v>
      </c>
    </row>
    <row r="110" spans="1:24" x14ac:dyDescent="0.25">
      <c r="A110" s="8"/>
      <c r="B110" s="9"/>
      <c r="C110" s="18">
        <v>46171</v>
      </c>
      <c r="D110" s="9">
        <v>643</v>
      </c>
      <c r="E110" s="9">
        <v>677</v>
      </c>
      <c r="F110" s="9">
        <v>7.0724999999999998</v>
      </c>
      <c r="G110" s="9">
        <v>475</v>
      </c>
      <c r="H110" s="9">
        <v>1203.5</v>
      </c>
      <c r="I110" s="9">
        <v>320.3</v>
      </c>
      <c r="J110" s="9">
        <v>72.44</v>
      </c>
      <c r="K110" s="9">
        <v>4671</v>
      </c>
      <c r="L110" s="9">
        <v>9795</v>
      </c>
      <c r="M110" s="9">
        <v>3058</v>
      </c>
      <c r="N110" s="9">
        <v>8507</v>
      </c>
      <c r="O110" s="9">
        <v>2258</v>
      </c>
      <c r="P110" s="9">
        <v>9837</v>
      </c>
      <c r="Q110" s="9">
        <v>530</v>
      </c>
      <c r="R110" s="9">
        <v>780.7</v>
      </c>
      <c r="S110" s="9">
        <v>1.9475</v>
      </c>
      <c r="T110" s="9">
        <v>3.2136</v>
      </c>
      <c r="U110" s="10">
        <v>886</v>
      </c>
      <c r="V110">
        <v>78.290000000000006</v>
      </c>
      <c r="W110">
        <v>82.94</v>
      </c>
      <c r="X110">
        <v>2.4575</v>
      </c>
    </row>
    <row r="111" spans="1:24" x14ac:dyDescent="0.25">
      <c r="A111" s="11"/>
      <c r="B111" s="12"/>
      <c r="C111" s="18">
        <v>46170</v>
      </c>
      <c r="D111" s="9">
        <v>656.25</v>
      </c>
      <c r="E111" s="9">
        <v>692.25</v>
      </c>
      <c r="F111" s="9">
        <v>7.1974999999999998</v>
      </c>
      <c r="G111" s="9">
        <v>482.25</v>
      </c>
      <c r="H111" s="9">
        <v>1207</v>
      </c>
      <c r="I111" s="9">
        <v>323.60000000000002</v>
      </c>
      <c r="J111" s="9">
        <v>71.62</v>
      </c>
      <c r="K111" s="9">
        <v>4654</v>
      </c>
      <c r="L111" s="9">
        <v>9754</v>
      </c>
      <c r="M111" s="9">
        <v>3049</v>
      </c>
      <c r="N111" s="9">
        <v>8461</v>
      </c>
      <c r="O111" s="9">
        <v>2256</v>
      </c>
      <c r="P111" s="9">
        <v>9751</v>
      </c>
      <c r="Q111" s="9">
        <v>531.25</v>
      </c>
      <c r="R111" s="9">
        <v>786.1</v>
      </c>
      <c r="S111" s="9">
        <v>1.95</v>
      </c>
      <c r="T111" s="9">
        <v>3.2685</v>
      </c>
      <c r="U111" s="10">
        <v>897.5</v>
      </c>
      <c r="V111">
        <v>79.59</v>
      </c>
      <c r="W111">
        <v>84.47</v>
      </c>
      <c r="X111">
        <v>2.4969000000000001</v>
      </c>
    </row>
    <row r="112" spans="1:24" x14ac:dyDescent="0.25">
      <c r="A112" s="8"/>
      <c r="B112" s="9"/>
      <c r="C112" s="18">
        <v>46169</v>
      </c>
      <c r="D112" s="9">
        <v>655.75</v>
      </c>
      <c r="E112" s="9">
        <v>697.25</v>
      </c>
      <c r="F112" s="9">
        <v>7.2324999999999999</v>
      </c>
      <c r="G112" s="9">
        <v>477.5</v>
      </c>
      <c r="H112" s="9">
        <v>1194.25</v>
      </c>
      <c r="I112" s="9">
        <v>320.7</v>
      </c>
      <c r="J112" s="9">
        <v>70.27</v>
      </c>
      <c r="K112" s="9"/>
      <c r="L112" s="9">
        <v>9714</v>
      </c>
      <c r="M112" s="9">
        <v>3043</v>
      </c>
      <c r="N112" s="9">
        <v>8431</v>
      </c>
      <c r="O112" s="9">
        <v>2259</v>
      </c>
      <c r="P112" s="9">
        <v>9673</v>
      </c>
      <c r="Q112" s="9">
        <v>528.5</v>
      </c>
      <c r="R112" s="9">
        <v>775.5</v>
      </c>
      <c r="S112" s="9">
        <v>1.9375</v>
      </c>
      <c r="T112" s="9">
        <v>3.2303000000000002</v>
      </c>
      <c r="U112" s="10">
        <v>896.75</v>
      </c>
      <c r="V112">
        <v>78.069999999999993</v>
      </c>
      <c r="W112">
        <v>83.06</v>
      </c>
      <c r="X112">
        <v>2.4617</v>
      </c>
    </row>
    <row r="113" spans="1:24" x14ac:dyDescent="0.25">
      <c r="A113" s="11"/>
      <c r="B113" s="12"/>
      <c r="C113" s="18">
        <v>46168</v>
      </c>
      <c r="D113" s="9">
        <v>668.5</v>
      </c>
      <c r="E113" s="9">
        <v>704.25</v>
      </c>
      <c r="F113" s="9">
        <v>7.3075000000000001</v>
      </c>
      <c r="G113" s="9">
        <v>482</v>
      </c>
      <c r="H113" s="9">
        <v>1193.5</v>
      </c>
      <c r="I113" s="9">
        <v>319.39999999999998</v>
      </c>
      <c r="J113" s="9">
        <v>69.75</v>
      </c>
      <c r="K113" s="9">
        <v>4630</v>
      </c>
      <c r="L113" s="9">
        <v>9679</v>
      </c>
      <c r="M113" s="9">
        <v>3039</v>
      </c>
      <c r="N113" s="9">
        <v>8409</v>
      </c>
      <c r="O113" s="9">
        <v>2263</v>
      </c>
      <c r="P113" s="9">
        <v>9641</v>
      </c>
      <c r="Q113" s="9">
        <v>528.25</v>
      </c>
      <c r="R113" s="9">
        <v>768.1</v>
      </c>
      <c r="S113" s="9">
        <v>1.95</v>
      </c>
      <c r="T113" s="9">
        <v>3.2608999999999999</v>
      </c>
      <c r="U113" s="10">
        <v>912.75</v>
      </c>
      <c r="V113">
        <v>80.010000000000005</v>
      </c>
      <c r="W113">
        <v>84.94</v>
      </c>
      <c r="X113">
        <v>2.516</v>
      </c>
    </row>
    <row r="114" spans="1:24" x14ac:dyDescent="0.25">
      <c r="A114" s="8"/>
      <c r="B114" s="9"/>
      <c r="C114" s="18">
        <v>46167</v>
      </c>
      <c r="D114" s="9"/>
      <c r="E114" s="9"/>
      <c r="F114" s="9"/>
      <c r="G114" s="9"/>
      <c r="H114" s="9"/>
      <c r="I114" s="9"/>
      <c r="J114" s="9"/>
      <c r="K114" s="9">
        <v>4589</v>
      </c>
      <c r="L114" s="9">
        <v>9627</v>
      </c>
      <c r="M114" s="9">
        <v>3051</v>
      </c>
      <c r="N114" s="9">
        <v>8414</v>
      </c>
      <c r="O114" s="9">
        <v>2279</v>
      </c>
      <c r="P114" s="9">
        <v>9646</v>
      </c>
      <c r="Q114" s="9">
        <v>519.5</v>
      </c>
      <c r="R114" s="9">
        <v>755</v>
      </c>
      <c r="S114" s="9"/>
      <c r="T114" s="9"/>
      <c r="U114" s="10">
        <v>899.5</v>
      </c>
      <c r="W114">
        <v>83.31</v>
      </c>
    </row>
    <row r="115" spans="1:24" x14ac:dyDescent="0.25">
      <c r="A115" s="11"/>
      <c r="B115" s="12"/>
      <c r="C115" s="18">
        <v>46164</v>
      </c>
      <c r="D115" s="9">
        <v>679</v>
      </c>
      <c r="E115" s="9">
        <v>709</v>
      </c>
      <c r="F115" s="9">
        <v>7.2750000000000004</v>
      </c>
      <c r="G115" s="9">
        <v>486.5</v>
      </c>
      <c r="H115" s="9">
        <v>1199.75</v>
      </c>
      <c r="I115" s="9">
        <v>322.39999999999998</v>
      </c>
      <c r="J115" s="9">
        <v>69.38</v>
      </c>
      <c r="K115" s="9">
        <v>4598</v>
      </c>
      <c r="L115" s="9">
        <v>9650</v>
      </c>
      <c r="M115" s="9">
        <v>3048</v>
      </c>
      <c r="N115" s="9">
        <v>8475</v>
      </c>
      <c r="O115" s="9">
        <v>2277</v>
      </c>
      <c r="P115" s="9">
        <v>9692</v>
      </c>
      <c r="Q115" s="9">
        <v>529.75</v>
      </c>
      <c r="R115" s="9">
        <v>768.4</v>
      </c>
      <c r="S115" s="9">
        <v>1.9624999999999999</v>
      </c>
      <c r="T115" s="9">
        <v>3.3188</v>
      </c>
      <c r="U115" s="10">
        <v>929.25</v>
      </c>
      <c r="V115">
        <v>81.430000000000007</v>
      </c>
      <c r="W115">
        <v>86.38</v>
      </c>
      <c r="X115">
        <v>2.5767000000000002</v>
      </c>
    </row>
    <row r="116" spans="1:24" x14ac:dyDescent="0.25">
      <c r="A116" s="8"/>
      <c r="B116" s="9"/>
      <c r="C116" s="18">
        <v>46163</v>
      </c>
      <c r="D116" s="9">
        <v>680.75</v>
      </c>
      <c r="E116" s="9">
        <v>713.25</v>
      </c>
      <c r="F116" s="9">
        <v>7.2874999999999996</v>
      </c>
      <c r="G116" s="9">
        <v>485</v>
      </c>
      <c r="H116" s="9">
        <v>1198.75</v>
      </c>
      <c r="I116" s="9">
        <v>321.8</v>
      </c>
      <c r="J116" s="9">
        <v>69.3</v>
      </c>
      <c r="K116" s="9">
        <v>4582</v>
      </c>
      <c r="L116" s="9">
        <v>9789</v>
      </c>
      <c r="M116" s="9">
        <v>3055</v>
      </c>
      <c r="N116" s="9">
        <v>8531</v>
      </c>
      <c r="O116" s="9">
        <v>2290</v>
      </c>
      <c r="P116" s="9">
        <v>9779</v>
      </c>
      <c r="Q116" s="9">
        <v>527</v>
      </c>
      <c r="R116" s="9">
        <v>767.8</v>
      </c>
      <c r="S116" s="9">
        <v>1.95</v>
      </c>
      <c r="T116" s="9">
        <v>3.2887</v>
      </c>
      <c r="U116" s="10">
        <v>953</v>
      </c>
      <c r="V116">
        <v>81.19</v>
      </c>
      <c r="W116">
        <v>85.96</v>
      </c>
      <c r="X116">
        <v>2.5402</v>
      </c>
    </row>
    <row r="117" spans="1:24" x14ac:dyDescent="0.25">
      <c r="A117" s="11"/>
      <c r="B117" s="12"/>
      <c r="C117" s="18">
        <v>46162</v>
      </c>
      <c r="D117" s="9">
        <v>692.25</v>
      </c>
      <c r="E117" s="9">
        <v>723.5</v>
      </c>
      <c r="F117" s="9">
        <v>7.3475000000000001</v>
      </c>
      <c r="G117" s="9">
        <v>489.25</v>
      </c>
      <c r="H117" s="9">
        <v>1205</v>
      </c>
      <c r="I117" s="9">
        <v>324.39999999999998</v>
      </c>
      <c r="J117" s="9">
        <v>69.87</v>
      </c>
      <c r="K117" s="9">
        <v>4674</v>
      </c>
      <c r="L117" s="9">
        <v>9834</v>
      </c>
      <c r="M117" s="9">
        <v>3079</v>
      </c>
      <c r="N117" s="9">
        <v>8568</v>
      </c>
      <c r="O117" s="9">
        <v>2306</v>
      </c>
      <c r="P117" s="9">
        <v>9805</v>
      </c>
      <c r="Q117" s="9">
        <v>528.75</v>
      </c>
      <c r="R117" s="9">
        <v>766.9</v>
      </c>
      <c r="S117" s="9">
        <v>1.9424999999999999</v>
      </c>
      <c r="T117" s="9">
        <v>3.3405</v>
      </c>
      <c r="U117" s="10">
        <v>938.25</v>
      </c>
      <c r="V117">
        <v>81.45</v>
      </c>
      <c r="W117">
        <v>86.31</v>
      </c>
      <c r="X117">
        <v>2.5743999999999998</v>
      </c>
    </row>
    <row r="118" spans="1:24" x14ac:dyDescent="0.25">
      <c r="A118" s="8"/>
      <c r="B118" s="9"/>
      <c r="C118" s="18">
        <v>46161</v>
      </c>
      <c r="D118" s="9">
        <v>698.75</v>
      </c>
      <c r="E118" s="9">
        <v>727.25</v>
      </c>
      <c r="F118" s="9">
        <v>7.3674999999999997</v>
      </c>
      <c r="G118" s="9">
        <v>497.75</v>
      </c>
      <c r="H118" s="9">
        <v>1213.75</v>
      </c>
      <c r="I118" s="9">
        <v>325.5</v>
      </c>
      <c r="J118" s="9">
        <v>70.42</v>
      </c>
      <c r="K118" s="9">
        <v>4644</v>
      </c>
      <c r="L118" s="9">
        <v>9712</v>
      </c>
      <c r="M118" s="9">
        <v>3077</v>
      </c>
      <c r="N118" s="9">
        <v>8478</v>
      </c>
      <c r="O118" s="9">
        <v>2299</v>
      </c>
      <c r="P118" s="9">
        <v>9630</v>
      </c>
      <c r="Q118" s="9">
        <v>530.25</v>
      </c>
      <c r="R118" s="9">
        <v>770.9</v>
      </c>
      <c r="S118" s="9">
        <v>1.9524999999999999</v>
      </c>
      <c r="T118" s="9">
        <v>3.4552</v>
      </c>
      <c r="U118" s="10">
        <v>956.25</v>
      </c>
      <c r="V118">
        <v>84.74</v>
      </c>
      <c r="W118">
        <v>89.64</v>
      </c>
      <c r="X118">
        <v>2.6760999999999999</v>
      </c>
    </row>
    <row r="119" spans="1:24" x14ac:dyDescent="0.25">
      <c r="A119" s="11"/>
      <c r="B119" s="12"/>
      <c r="C119" s="18">
        <v>46160</v>
      </c>
      <c r="D119" s="9">
        <v>696.25</v>
      </c>
      <c r="E119" s="9">
        <v>727.5</v>
      </c>
      <c r="F119" s="9">
        <v>7.4175000000000004</v>
      </c>
      <c r="G119" s="9">
        <v>498</v>
      </c>
      <c r="H119" s="9">
        <v>1212.25</v>
      </c>
      <c r="I119" s="9">
        <v>325.60000000000002</v>
      </c>
      <c r="J119" s="9">
        <v>70.69</v>
      </c>
      <c r="K119" s="9">
        <v>4588</v>
      </c>
      <c r="L119" s="9">
        <v>9632</v>
      </c>
      <c r="M119" s="9">
        <v>3045</v>
      </c>
      <c r="N119" s="9">
        <v>8412</v>
      </c>
      <c r="O119" s="9">
        <v>2279</v>
      </c>
      <c r="P119" s="9">
        <v>9538</v>
      </c>
      <c r="Q119" s="9">
        <v>529.75</v>
      </c>
      <c r="R119" s="9"/>
      <c r="S119" s="9">
        <v>1.9475</v>
      </c>
      <c r="T119" s="9">
        <v>3.4457</v>
      </c>
      <c r="U119" s="10">
        <v>959</v>
      </c>
      <c r="V119">
        <v>85.32</v>
      </c>
      <c r="W119">
        <v>90.49</v>
      </c>
      <c r="X119">
        <v>2.6983999999999999</v>
      </c>
    </row>
    <row r="120" spans="1:24" x14ac:dyDescent="0.25">
      <c r="A120" s="8"/>
      <c r="B120" s="9"/>
      <c r="C120" s="18">
        <v>46157</v>
      </c>
      <c r="D120" s="9">
        <v>669.75</v>
      </c>
      <c r="E120" s="9">
        <v>711.25</v>
      </c>
      <c r="F120" s="9">
        <v>7.2450000000000001</v>
      </c>
      <c r="G120" s="9">
        <v>481</v>
      </c>
      <c r="H120" s="9">
        <v>1183.25</v>
      </c>
      <c r="I120" s="9">
        <v>322.10000000000002</v>
      </c>
      <c r="J120" s="9">
        <v>69.17</v>
      </c>
      <c r="K120" s="9">
        <v>4521</v>
      </c>
      <c r="L120" s="9">
        <v>9541</v>
      </c>
      <c r="M120" s="9">
        <v>3052</v>
      </c>
      <c r="N120" s="9">
        <v>8421</v>
      </c>
      <c r="O120" s="9">
        <v>2291</v>
      </c>
      <c r="P120" s="9">
        <v>9580</v>
      </c>
      <c r="Q120" s="9">
        <v>524.25</v>
      </c>
      <c r="R120" s="9">
        <v>757.3</v>
      </c>
      <c r="S120" s="9">
        <v>1.89</v>
      </c>
      <c r="T120" s="9">
        <v>3.3574000000000002</v>
      </c>
      <c r="U120" s="10">
        <v>940.25</v>
      </c>
      <c r="V120">
        <v>83.42</v>
      </c>
      <c r="W120">
        <v>88.88</v>
      </c>
      <c r="X120">
        <v>2.6453000000000002</v>
      </c>
    </row>
    <row r="121" spans="1:24" x14ac:dyDescent="0.25">
      <c r="A121" s="11"/>
      <c r="B121" s="12"/>
      <c r="C121" s="18">
        <v>46156</v>
      </c>
      <c r="D121" s="9">
        <v>691</v>
      </c>
      <c r="E121" s="9">
        <v>730.5</v>
      </c>
      <c r="F121" s="9">
        <v>7.4124999999999996</v>
      </c>
      <c r="G121" s="9">
        <v>491.25</v>
      </c>
      <c r="H121" s="9">
        <v>1195.5</v>
      </c>
      <c r="I121" s="9">
        <v>322.8</v>
      </c>
      <c r="J121" s="9">
        <v>69.31</v>
      </c>
      <c r="K121" s="9">
        <v>4507</v>
      </c>
      <c r="L121" s="9">
        <v>9597</v>
      </c>
      <c r="M121" s="9">
        <v>3096</v>
      </c>
      <c r="N121" s="9">
        <v>8505</v>
      </c>
      <c r="O121" s="9">
        <v>2329</v>
      </c>
      <c r="P121" s="9">
        <v>9706</v>
      </c>
      <c r="Q121" s="9">
        <v>520</v>
      </c>
      <c r="R121" s="9">
        <v>755.4</v>
      </c>
      <c r="S121" s="9">
        <v>1.91</v>
      </c>
      <c r="T121" s="9">
        <v>3.2942</v>
      </c>
      <c r="U121" s="10">
        <v>918.5</v>
      </c>
      <c r="V121">
        <v>81.39</v>
      </c>
      <c r="W121">
        <v>87.24</v>
      </c>
      <c r="X121">
        <v>2.5956000000000001</v>
      </c>
    </row>
    <row r="122" spans="1:24" x14ac:dyDescent="0.25">
      <c r="A122" s="8"/>
      <c r="B122" s="9"/>
      <c r="C122" s="18">
        <v>46155</v>
      </c>
      <c r="D122" s="9">
        <v>707.5</v>
      </c>
      <c r="E122" s="9">
        <v>750</v>
      </c>
      <c r="F122" s="9">
        <v>7.58</v>
      </c>
      <c r="G122" s="9">
        <v>503</v>
      </c>
      <c r="H122" s="9">
        <v>1219.25</v>
      </c>
      <c r="I122" s="9">
        <v>328.6</v>
      </c>
      <c r="J122" s="9">
        <v>70.11</v>
      </c>
      <c r="K122" s="9">
        <v>4546</v>
      </c>
      <c r="L122" s="9">
        <v>9636</v>
      </c>
      <c r="M122" s="9">
        <v>3098</v>
      </c>
      <c r="N122" s="9">
        <v>8503</v>
      </c>
      <c r="O122" s="9">
        <v>2337</v>
      </c>
      <c r="P122" s="9">
        <v>9691</v>
      </c>
      <c r="Q122" s="9">
        <v>523.5</v>
      </c>
      <c r="R122" s="9">
        <v>767.9</v>
      </c>
      <c r="S122" s="9">
        <v>1.9350000000000001</v>
      </c>
      <c r="T122" s="9">
        <v>3.3201000000000001</v>
      </c>
      <c r="U122" s="10">
        <v>941</v>
      </c>
      <c r="V122">
        <v>81.67</v>
      </c>
      <c r="W122">
        <v>87.73</v>
      </c>
      <c r="X122">
        <v>2.6272000000000002</v>
      </c>
    </row>
    <row r="123" spans="1:24" x14ac:dyDescent="0.25">
      <c r="A123" s="11"/>
      <c r="B123" s="12"/>
      <c r="C123" s="18">
        <v>46154</v>
      </c>
      <c r="D123" s="9">
        <v>710.25</v>
      </c>
      <c r="E123" s="9">
        <v>757.75</v>
      </c>
      <c r="F123" s="9">
        <v>7.6224999999999996</v>
      </c>
      <c r="G123" s="9">
        <v>502</v>
      </c>
      <c r="H123" s="9">
        <v>1216.25</v>
      </c>
      <c r="I123" s="9">
        <v>320.39999999999998</v>
      </c>
      <c r="J123" s="9">
        <v>70.930000000000007</v>
      </c>
      <c r="K123" s="9">
        <v>4566</v>
      </c>
      <c r="L123" s="9">
        <v>9691</v>
      </c>
      <c r="M123" s="9">
        <v>3081</v>
      </c>
      <c r="N123" s="9">
        <v>8498</v>
      </c>
      <c r="O123" s="9">
        <v>2342</v>
      </c>
      <c r="P123" s="9">
        <v>9730</v>
      </c>
      <c r="Q123" s="9">
        <v>524.75</v>
      </c>
      <c r="R123" s="9">
        <v>771.8</v>
      </c>
      <c r="S123" s="9">
        <v>1.9225000000000001</v>
      </c>
      <c r="T123" s="9">
        <v>3.4184999999999999</v>
      </c>
      <c r="U123" s="10">
        <v>947</v>
      </c>
      <c r="V123">
        <v>83.63</v>
      </c>
      <c r="W123">
        <v>89.69</v>
      </c>
      <c r="X123">
        <v>2.6709000000000001</v>
      </c>
    </row>
    <row r="124" spans="1:24" x14ac:dyDescent="0.25">
      <c r="A124" s="8"/>
      <c r="B124" s="9"/>
      <c r="C124" s="18">
        <v>46153</v>
      </c>
      <c r="D124" s="9">
        <v>670</v>
      </c>
      <c r="E124" s="9">
        <v>712.75</v>
      </c>
      <c r="F124" s="9">
        <v>7.2750000000000004</v>
      </c>
      <c r="G124" s="9">
        <v>497.75</v>
      </c>
      <c r="H124" s="9">
        <v>1206.25</v>
      </c>
      <c r="I124" s="9">
        <v>318.39999999999998</v>
      </c>
      <c r="J124" s="9">
        <v>69.540000000000006</v>
      </c>
      <c r="K124" s="9">
        <v>4575</v>
      </c>
      <c r="L124" s="9">
        <v>9777</v>
      </c>
      <c r="M124" s="9">
        <v>3069</v>
      </c>
      <c r="N124" s="9">
        <v>8491</v>
      </c>
      <c r="O124" s="9">
        <v>2343</v>
      </c>
      <c r="P124" s="9">
        <v>9764</v>
      </c>
      <c r="Q124" s="9">
        <v>518</v>
      </c>
      <c r="R124" s="9">
        <v>760</v>
      </c>
      <c r="S124" s="9">
        <v>1.8975</v>
      </c>
      <c r="T124" s="9">
        <v>3.2726000000000002</v>
      </c>
      <c r="U124" s="10">
        <v>911</v>
      </c>
      <c r="V124">
        <v>81.63</v>
      </c>
      <c r="W124">
        <v>87.7</v>
      </c>
      <c r="X124">
        <v>2.6057000000000001</v>
      </c>
    </row>
    <row r="125" spans="1:24" x14ac:dyDescent="0.25">
      <c r="A125" s="11"/>
      <c r="B125" s="12"/>
      <c r="C125" s="18">
        <v>46150</v>
      </c>
      <c r="D125" s="9">
        <v>655</v>
      </c>
      <c r="E125" s="9">
        <v>701</v>
      </c>
      <c r="F125" s="9">
        <v>7.1825000000000001</v>
      </c>
      <c r="G125" s="9">
        <v>493.5</v>
      </c>
      <c r="H125" s="9">
        <v>1201.5</v>
      </c>
      <c r="I125" s="9">
        <v>315.2</v>
      </c>
      <c r="J125" s="9">
        <v>69.569999999999993</v>
      </c>
      <c r="K125" s="9">
        <v>4542</v>
      </c>
      <c r="L125" s="9">
        <v>9755</v>
      </c>
      <c r="M125" s="9">
        <v>3033</v>
      </c>
      <c r="N125" s="9">
        <v>8471</v>
      </c>
      <c r="O125" s="9">
        <v>2320</v>
      </c>
      <c r="P125" s="9">
        <v>9770</v>
      </c>
      <c r="Q125" s="9">
        <v>514.75</v>
      </c>
      <c r="R125" s="9">
        <v>765.4</v>
      </c>
      <c r="S125" s="9">
        <v>1.89</v>
      </c>
      <c r="T125" s="9">
        <v>3.2185000000000001</v>
      </c>
      <c r="U125" s="10">
        <v>901</v>
      </c>
      <c r="V125">
        <v>79.37</v>
      </c>
      <c r="W125">
        <v>85.54</v>
      </c>
      <c r="X125">
        <v>2.5411999999999999</v>
      </c>
    </row>
    <row r="126" spans="1:24" x14ac:dyDescent="0.25">
      <c r="A126" s="8"/>
      <c r="B126" s="9"/>
      <c r="C126" s="18">
        <v>46149</v>
      </c>
      <c r="D126" s="9">
        <v>648.25</v>
      </c>
      <c r="E126" s="9">
        <v>693.25</v>
      </c>
      <c r="F126" s="9">
        <v>7.1224999999999996</v>
      </c>
      <c r="G126" s="9">
        <v>489.5</v>
      </c>
      <c r="H126" s="9">
        <v>1185.5</v>
      </c>
      <c r="I126" s="9">
        <v>313.10000000000002</v>
      </c>
      <c r="J126" s="9">
        <v>69.23</v>
      </c>
      <c r="K126" s="9">
        <v>4568</v>
      </c>
      <c r="L126" s="9">
        <v>9826</v>
      </c>
      <c r="M126" s="9">
        <v>3038</v>
      </c>
      <c r="N126" s="9">
        <v>8568</v>
      </c>
      <c r="O126" s="9">
        <v>2333</v>
      </c>
      <c r="P126" s="9">
        <v>9858</v>
      </c>
      <c r="Q126" s="9">
        <v>514</v>
      </c>
      <c r="R126" s="9">
        <v>751.1</v>
      </c>
      <c r="S126" s="9">
        <v>1.885</v>
      </c>
      <c r="T126" s="9">
        <v>3.1604999999999999</v>
      </c>
      <c r="U126" s="10">
        <v>879.25</v>
      </c>
      <c r="V126">
        <v>77.55</v>
      </c>
      <c r="W126">
        <v>83.61</v>
      </c>
      <c r="X126">
        <v>2.4906999999999999</v>
      </c>
    </row>
    <row r="127" spans="1:24" x14ac:dyDescent="0.25">
      <c r="A127" s="11"/>
      <c r="B127" s="12"/>
      <c r="C127" s="18">
        <v>46148</v>
      </c>
      <c r="D127" s="9">
        <v>654</v>
      </c>
      <c r="E127" s="9">
        <v>712.75</v>
      </c>
      <c r="F127" s="9">
        <v>7.2675000000000001</v>
      </c>
      <c r="G127" s="9">
        <v>490</v>
      </c>
      <c r="H127" s="9">
        <v>1187.5</v>
      </c>
      <c r="I127" s="9">
        <v>313.39999999999998</v>
      </c>
      <c r="J127" s="9">
        <v>69.94</v>
      </c>
      <c r="K127" s="9">
        <v>4605</v>
      </c>
      <c r="L127" s="9">
        <v>9948</v>
      </c>
      <c r="M127" s="9">
        <v>3053</v>
      </c>
      <c r="N127" s="9">
        <v>8648</v>
      </c>
      <c r="O127" s="9">
        <v>2349</v>
      </c>
      <c r="P127" s="9">
        <v>9935</v>
      </c>
      <c r="Q127" s="9">
        <v>518.75</v>
      </c>
      <c r="R127" s="9">
        <v>752.8</v>
      </c>
      <c r="S127" s="9">
        <v>1.915</v>
      </c>
      <c r="T127" s="9">
        <v>3.1726000000000001</v>
      </c>
      <c r="U127" s="10">
        <v>891.5</v>
      </c>
      <c r="V127">
        <v>77.069999999999993</v>
      </c>
      <c r="W127">
        <v>83.28</v>
      </c>
      <c r="X127">
        <v>2.4729000000000001</v>
      </c>
    </row>
    <row r="128" spans="1:24" x14ac:dyDescent="0.25">
      <c r="A128" s="8"/>
      <c r="B128" s="9"/>
      <c r="C128" s="18">
        <v>46147</v>
      </c>
      <c r="D128" s="9">
        <v>665</v>
      </c>
      <c r="E128" s="9">
        <v>715.75</v>
      </c>
      <c r="F128" s="9">
        <v>7.3</v>
      </c>
      <c r="G128" s="9">
        <v>500.5</v>
      </c>
      <c r="H128" s="9">
        <v>1201.5</v>
      </c>
      <c r="I128" s="9">
        <v>314.10000000000002</v>
      </c>
      <c r="J128" s="9">
        <v>71.59</v>
      </c>
      <c r="K128" s="9">
        <v>4709</v>
      </c>
      <c r="L128" s="9"/>
      <c r="M128" s="9"/>
      <c r="N128" s="9"/>
      <c r="O128" s="9"/>
      <c r="P128" s="9"/>
      <c r="Q128" s="9">
        <v>526.75</v>
      </c>
      <c r="R128" s="9">
        <v>768.8</v>
      </c>
      <c r="S128" s="9">
        <v>1.9624999999999999</v>
      </c>
      <c r="T128" s="9">
        <v>3.3210999999999999</v>
      </c>
      <c r="U128" s="10">
        <v>933.5</v>
      </c>
      <c r="V128">
        <v>81.790000000000006</v>
      </c>
      <c r="W128">
        <v>88.39</v>
      </c>
      <c r="X128">
        <v>2.5912000000000002</v>
      </c>
    </row>
    <row r="129" spans="1:24" x14ac:dyDescent="0.25">
      <c r="A129" s="11"/>
      <c r="B129" s="12"/>
      <c r="C129" s="18">
        <v>46146</v>
      </c>
      <c r="D129" s="9">
        <v>677.5</v>
      </c>
      <c r="E129" s="9">
        <v>721.25</v>
      </c>
      <c r="F129" s="9">
        <v>7.335</v>
      </c>
      <c r="G129" s="9">
        <v>504.5</v>
      </c>
      <c r="H129" s="9">
        <v>1208.25</v>
      </c>
      <c r="I129" s="9">
        <v>315.10000000000002</v>
      </c>
      <c r="J129" s="9">
        <v>71.16</v>
      </c>
      <c r="K129" s="9">
        <v>4650</v>
      </c>
      <c r="L129" s="9"/>
      <c r="M129" s="9"/>
      <c r="N129" s="9"/>
      <c r="O129" s="9"/>
      <c r="P129" s="9"/>
      <c r="Q129" s="9">
        <v>528.5</v>
      </c>
      <c r="R129" s="9">
        <v>769.9</v>
      </c>
      <c r="S129" s="9">
        <v>1.9675</v>
      </c>
      <c r="T129" s="9">
        <v>3.3342999999999998</v>
      </c>
      <c r="U129" s="10">
        <v>933.25</v>
      </c>
      <c r="V129">
        <v>83.72</v>
      </c>
      <c r="W129">
        <v>89.69</v>
      </c>
      <c r="X129">
        <v>2.621</v>
      </c>
    </row>
    <row r="130" spans="1:24" x14ac:dyDescent="0.25">
      <c r="A130" s="8"/>
      <c r="B130" s="9"/>
      <c r="C130" s="18">
        <v>46143</v>
      </c>
      <c r="D130" s="9">
        <v>673.25</v>
      </c>
      <c r="E130" s="9">
        <v>721.25</v>
      </c>
      <c r="F130" s="9">
        <v>7.375</v>
      </c>
      <c r="G130" s="9">
        <v>498.75</v>
      </c>
      <c r="H130" s="9">
        <v>1195.25</v>
      </c>
      <c r="I130" s="9">
        <v>312.60000000000002</v>
      </c>
      <c r="J130" s="9">
        <v>70.03</v>
      </c>
      <c r="K130" s="9"/>
      <c r="L130" s="9"/>
      <c r="M130" s="9"/>
      <c r="N130" s="9"/>
      <c r="O130" s="9"/>
      <c r="P130" s="9"/>
      <c r="Q130" s="9"/>
      <c r="R130" s="9">
        <v>764.7</v>
      </c>
      <c r="S130" s="9">
        <v>1.95</v>
      </c>
      <c r="T130" s="9">
        <v>3.2103000000000002</v>
      </c>
      <c r="U130" s="10">
        <v>901</v>
      </c>
      <c r="V130">
        <v>79.53</v>
      </c>
      <c r="W130">
        <v>85.46</v>
      </c>
      <c r="X130">
        <v>2.5007000000000001</v>
      </c>
    </row>
    <row r="131" spans="1:24" x14ac:dyDescent="0.25">
      <c r="A131" s="11"/>
      <c r="B131" s="12"/>
      <c r="C131" s="18">
        <v>46142</v>
      </c>
      <c r="D131" s="9">
        <v>673</v>
      </c>
      <c r="E131" s="9">
        <v>720</v>
      </c>
      <c r="F131" s="9">
        <v>7.3724999999999996</v>
      </c>
      <c r="G131" s="9">
        <v>494.25</v>
      </c>
      <c r="H131" s="9">
        <v>1184.75</v>
      </c>
      <c r="I131" s="9">
        <v>311.5</v>
      </c>
      <c r="J131" s="9">
        <v>69.44</v>
      </c>
      <c r="K131" s="9">
        <v>4618</v>
      </c>
      <c r="L131" s="9">
        <v>9842</v>
      </c>
      <c r="M131" s="9">
        <v>3065</v>
      </c>
      <c r="N131" s="9">
        <v>8565</v>
      </c>
      <c r="O131" s="9">
        <v>2355</v>
      </c>
      <c r="P131" s="9">
        <v>9898</v>
      </c>
      <c r="Q131" s="9">
        <v>522.25</v>
      </c>
      <c r="R131" s="9">
        <v>767.1</v>
      </c>
      <c r="S131" s="9">
        <v>1.9075</v>
      </c>
      <c r="T131" s="9">
        <v>3.2597</v>
      </c>
      <c r="U131" s="10">
        <v>909.5</v>
      </c>
      <c r="V131">
        <v>80.209999999999994</v>
      </c>
      <c r="W131">
        <v>85.81</v>
      </c>
      <c r="X131">
        <v>2.5097</v>
      </c>
    </row>
    <row r="132" spans="1:24" x14ac:dyDescent="0.25">
      <c r="A132" s="8"/>
      <c r="B132" s="9"/>
      <c r="C132" s="18">
        <v>46141</v>
      </c>
      <c r="D132" s="9">
        <v>686.5</v>
      </c>
      <c r="E132" s="9">
        <v>728</v>
      </c>
      <c r="F132" s="9">
        <v>7.4474999999999998</v>
      </c>
      <c r="G132" s="9">
        <v>497.75</v>
      </c>
      <c r="H132" s="9">
        <v>1183</v>
      </c>
      <c r="I132" s="9">
        <v>314.7</v>
      </c>
      <c r="J132" s="9">
        <v>68.64</v>
      </c>
      <c r="K132" s="9">
        <v>4636</v>
      </c>
      <c r="L132" s="9">
        <v>9737</v>
      </c>
      <c r="M132" s="9">
        <v>3062</v>
      </c>
      <c r="N132" s="9">
        <v>8510</v>
      </c>
      <c r="O132" s="9">
        <v>2349</v>
      </c>
      <c r="P132" s="9">
        <v>9802</v>
      </c>
      <c r="Q132" s="9">
        <v>523.25</v>
      </c>
      <c r="R132" s="9">
        <v>765</v>
      </c>
      <c r="S132" s="9">
        <v>1.9275</v>
      </c>
      <c r="T132" s="9">
        <v>3.2536</v>
      </c>
      <c r="U132" s="10">
        <v>919.5</v>
      </c>
      <c r="V132">
        <v>79.489999999999995</v>
      </c>
      <c r="W132">
        <v>85.12</v>
      </c>
      <c r="X132">
        <v>2.4962</v>
      </c>
    </row>
    <row r="133" spans="1:24" x14ac:dyDescent="0.25">
      <c r="A133" s="11"/>
      <c r="B133" s="12"/>
      <c r="C133" s="18">
        <v>46140</v>
      </c>
      <c r="D133" s="9">
        <v>689</v>
      </c>
      <c r="E133" s="9">
        <v>726.25</v>
      </c>
      <c r="F133" s="9">
        <v>7.42</v>
      </c>
      <c r="G133" s="9">
        <v>495.75</v>
      </c>
      <c r="H133" s="9">
        <v>1178.75</v>
      </c>
      <c r="I133" s="9">
        <v>315.2</v>
      </c>
      <c r="J133" s="9">
        <v>66.930000000000007</v>
      </c>
      <c r="K133" s="9">
        <v>4574</v>
      </c>
      <c r="L133" s="9">
        <v>9778</v>
      </c>
      <c r="M133" s="9">
        <v>3041</v>
      </c>
      <c r="N133" s="9">
        <v>8489</v>
      </c>
      <c r="O133" s="9">
        <v>2336</v>
      </c>
      <c r="P133" s="9">
        <v>9713</v>
      </c>
      <c r="Q133" s="9">
        <v>514</v>
      </c>
      <c r="R133" s="9">
        <v>750.4</v>
      </c>
      <c r="S133" s="9">
        <v>1.875</v>
      </c>
      <c r="T133" s="9">
        <v>3.1549999999999998</v>
      </c>
      <c r="U133" s="10">
        <v>889</v>
      </c>
      <c r="V133">
        <v>78.680000000000007</v>
      </c>
      <c r="W133">
        <v>84.64</v>
      </c>
      <c r="X133">
        <v>2.4622000000000002</v>
      </c>
    </row>
    <row r="134" spans="1:24" x14ac:dyDescent="0.25">
      <c r="A134" s="8"/>
      <c r="B134" s="9"/>
      <c r="C134" s="18">
        <v>46139</v>
      </c>
      <c r="D134" s="9">
        <v>661.25</v>
      </c>
      <c r="E134" s="9">
        <v>701</v>
      </c>
      <c r="F134" s="9">
        <v>7.2374999999999998</v>
      </c>
      <c r="G134" s="9">
        <v>489.5</v>
      </c>
      <c r="H134" s="9">
        <v>1177.5</v>
      </c>
      <c r="I134" s="9">
        <v>313.89999999999998</v>
      </c>
      <c r="J134" s="9">
        <v>66.290000000000006</v>
      </c>
      <c r="K134" s="9">
        <v>4570</v>
      </c>
      <c r="L134" s="9">
        <v>9815</v>
      </c>
      <c r="M134" s="9">
        <v>3024</v>
      </c>
      <c r="N134" s="9">
        <v>8473</v>
      </c>
      <c r="O134" s="9">
        <v>2323</v>
      </c>
      <c r="P134" s="9">
        <v>9703</v>
      </c>
      <c r="Q134" s="9">
        <v>510.75</v>
      </c>
      <c r="R134" s="9">
        <v>744</v>
      </c>
      <c r="S134" s="9">
        <v>1.895</v>
      </c>
      <c r="T134" s="9">
        <v>3.1515</v>
      </c>
      <c r="U134" s="10">
        <v>895.5</v>
      </c>
      <c r="V134">
        <v>78.260000000000005</v>
      </c>
      <c r="W134">
        <v>84.54</v>
      </c>
      <c r="X134">
        <v>2.4462000000000002</v>
      </c>
    </row>
    <row r="135" spans="1:24" x14ac:dyDescent="0.25">
      <c r="A135" s="11"/>
      <c r="B135" s="12"/>
      <c r="C135" s="18">
        <v>46136</v>
      </c>
      <c r="D135" s="9">
        <v>649.5</v>
      </c>
      <c r="E135" s="9">
        <v>695</v>
      </c>
      <c r="F135" s="9">
        <v>7.2225000000000001</v>
      </c>
      <c r="G135" s="9">
        <v>484.25</v>
      </c>
      <c r="H135" s="9">
        <v>1168</v>
      </c>
      <c r="I135" s="9">
        <v>309.3</v>
      </c>
      <c r="J135" s="9">
        <v>65.930000000000007</v>
      </c>
      <c r="K135" s="9">
        <v>4603</v>
      </c>
      <c r="L135" s="9">
        <v>9766</v>
      </c>
      <c r="M135" s="9">
        <v>3029</v>
      </c>
      <c r="N135" s="9">
        <v>8520</v>
      </c>
      <c r="O135" s="9">
        <v>2328</v>
      </c>
      <c r="P135" s="9">
        <v>9687</v>
      </c>
      <c r="Q135" s="9">
        <v>505.25</v>
      </c>
      <c r="R135" s="9">
        <v>744</v>
      </c>
      <c r="S135" s="9">
        <v>1.865</v>
      </c>
      <c r="T135" s="9">
        <v>3.0811999999999999</v>
      </c>
      <c r="U135" s="10">
        <v>879.75</v>
      </c>
      <c r="V135">
        <v>77.48</v>
      </c>
      <c r="W135">
        <v>83.35</v>
      </c>
      <c r="X135">
        <v>2.415</v>
      </c>
    </row>
    <row r="136" spans="1:24" x14ac:dyDescent="0.25">
      <c r="A136" s="8"/>
      <c r="B136" s="9"/>
      <c r="C136" s="18">
        <v>46135</v>
      </c>
      <c r="D136" s="9">
        <v>651.75</v>
      </c>
      <c r="E136" s="9">
        <v>704.5</v>
      </c>
      <c r="F136" s="9">
        <v>7.1875</v>
      </c>
      <c r="G136" s="9">
        <v>483.5</v>
      </c>
      <c r="H136" s="9">
        <v>1167</v>
      </c>
      <c r="I136" s="9">
        <v>309.3</v>
      </c>
      <c r="J136" s="9">
        <v>65.66</v>
      </c>
      <c r="K136" s="9">
        <v>4559</v>
      </c>
      <c r="L136" s="9">
        <v>9743</v>
      </c>
      <c r="M136" s="9">
        <v>3045</v>
      </c>
      <c r="N136" s="9">
        <v>8549</v>
      </c>
      <c r="O136" s="9">
        <v>2345</v>
      </c>
      <c r="P136" s="9">
        <v>9644</v>
      </c>
      <c r="Q136" s="9">
        <v>510</v>
      </c>
      <c r="R136" s="9">
        <v>742.4</v>
      </c>
      <c r="S136" s="9">
        <v>1.845</v>
      </c>
      <c r="T136" s="9">
        <v>3.1017999999999999</v>
      </c>
      <c r="U136" s="10">
        <v>866.75</v>
      </c>
      <c r="V136">
        <v>77.849999999999994</v>
      </c>
      <c r="W136">
        <v>83.61</v>
      </c>
      <c r="X136">
        <v>2.4257</v>
      </c>
    </row>
    <row r="137" spans="1:24" x14ac:dyDescent="0.25">
      <c r="A137" s="11"/>
      <c r="B137" s="12"/>
      <c r="C137" s="18">
        <v>46134</v>
      </c>
      <c r="D137" s="9">
        <v>638.75</v>
      </c>
      <c r="E137" s="9">
        <v>678.25</v>
      </c>
      <c r="F137" s="9">
        <v>7.0949999999999998</v>
      </c>
      <c r="G137" s="9">
        <v>482.25</v>
      </c>
      <c r="H137" s="9">
        <v>1168.25</v>
      </c>
      <c r="I137" s="9">
        <v>310</v>
      </c>
      <c r="J137" s="9">
        <v>65.33</v>
      </c>
      <c r="K137" s="9">
        <v>4594</v>
      </c>
      <c r="L137" s="9">
        <v>9703</v>
      </c>
      <c r="M137" s="9">
        <v>3053</v>
      </c>
      <c r="N137" s="9">
        <v>8546</v>
      </c>
      <c r="O137" s="9">
        <v>2348</v>
      </c>
      <c r="P137" s="9">
        <v>9623</v>
      </c>
      <c r="Q137" s="9">
        <v>504.5</v>
      </c>
      <c r="R137" s="9">
        <v>736.9</v>
      </c>
      <c r="S137" s="9">
        <v>1.8425</v>
      </c>
      <c r="T137" s="9">
        <v>3.0636999999999999</v>
      </c>
      <c r="U137" s="10">
        <v>860</v>
      </c>
      <c r="V137">
        <v>76.459999999999994</v>
      </c>
      <c r="W137">
        <v>81.98</v>
      </c>
      <c r="X137">
        <v>2.3759999999999999</v>
      </c>
    </row>
    <row r="138" spans="1:24" x14ac:dyDescent="0.25">
      <c r="A138" s="8"/>
      <c r="B138" s="9"/>
      <c r="C138" s="18">
        <v>46133</v>
      </c>
      <c r="D138" s="9">
        <v>644.5</v>
      </c>
      <c r="E138" s="9">
        <v>683.5</v>
      </c>
      <c r="F138" s="9">
        <v>7.1050000000000004</v>
      </c>
      <c r="G138" s="9">
        <v>481.75</v>
      </c>
      <c r="H138" s="9">
        <v>1179.5</v>
      </c>
      <c r="I138" s="9">
        <v>313</v>
      </c>
      <c r="J138" s="9">
        <v>65.61</v>
      </c>
      <c r="K138" s="9">
        <v>4510</v>
      </c>
      <c r="L138" s="9">
        <v>9545</v>
      </c>
      <c r="M138" s="9">
        <v>3014</v>
      </c>
      <c r="N138" s="9">
        <v>8439</v>
      </c>
      <c r="O138" s="9">
        <v>2317</v>
      </c>
      <c r="P138" s="9">
        <v>9535</v>
      </c>
      <c r="Q138" s="9">
        <v>503.75</v>
      </c>
      <c r="R138" s="9">
        <v>737</v>
      </c>
      <c r="S138" s="9">
        <v>1.83</v>
      </c>
      <c r="T138" s="9">
        <v>2.9893000000000001</v>
      </c>
      <c r="U138" s="10">
        <v>845.75</v>
      </c>
      <c r="V138">
        <v>75.38</v>
      </c>
      <c r="W138">
        <v>80.75</v>
      </c>
      <c r="X138">
        <v>2.3330000000000002</v>
      </c>
    </row>
    <row r="139" spans="1:24" x14ac:dyDescent="0.25">
      <c r="A139" s="11"/>
      <c r="B139" s="12"/>
      <c r="C139" s="18">
        <v>46132</v>
      </c>
      <c r="D139" s="9">
        <v>637.5</v>
      </c>
      <c r="E139" s="9">
        <v>674.25</v>
      </c>
      <c r="F139" s="9">
        <v>7.01</v>
      </c>
      <c r="G139" s="9">
        <v>479.5</v>
      </c>
      <c r="H139" s="9">
        <v>1171</v>
      </c>
      <c r="I139" s="9">
        <v>315</v>
      </c>
      <c r="J139" s="9">
        <v>63.83</v>
      </c>
      <c r="K139" s="9">
        <v>4429</v>
      </c>
      <c r="L139" s="9">
        <v>9332</v>
      </c>
      <c r="M139" s="9">
        <v>3003</v>
      </c>
      <c r="N139" s="9">
        <v>8362</v>
      </c>
      <c r="O139" s="9">
        <v>2301</v>
      </c>
      <c r="P139" s="9">
        <v>9417</v>
      </c>
      <c r="Q139" s="9">
        <v>496</v>
      </c>
      <c r="R139" s="9">
        <v>730.8</v>
      </c>
      <c r="S139" s="9">
        <v>1.8325</v>
      </c>
      <c r="T139" s="9">
        <v>2.9348000000000001</v>
      </c>
      <c r="U139" s="10">
        <v>830.75</v>
      </c>
      <c r="V139">
        <v>74.58</v>
      </c>
      <c r="W139">
        <v>79.77</v>
      </c>
      <c r="X139">
        <v>2.29</v>
      </c>
    </row>
    <row r="140" spans="1:24" x14ac:dyDescent="0.25">
      <c r="A140" s="8"/>
      <c r="B140" s="9"/>
      <c r="C140" s="18">
        <v>46129</v>
      </c>
      <c r="D140" s="9">
        <v>630.25</v>
      </c>
      <c r="E140" s="9">
        <v>676.25</v>
      </c>
      <c r="F140" s="9">
        <v>7.0049999999999999</v>
      </c>
      <c r="G140" s="9">
        <v>477</v>
      </c>
      <c r="H140" s="9">
        <v>1169.75</v>
      </c>
      <c r="I140" s="9">
        <v>317.39999999999998</v>
      </c>
      <c r="J140" s="9">
        <v>62.61</v>
      </c>
      <c r="K140" s="9">
        <v>4388</v>
      </c>
      <c r="L140" s="9">
        <v>9326</v>
      </c>
      <c r="M140" s="9">
        <v>3013</v>
      </c>
      <c r="N140" s="9">
        <v>8389</v>
      </c>
      <c r="O140" s="9">
        <v>2309</v>
      </c>
      <c r="P140" s="9">
        <v>9420</v>
      </c>
      <c r="Q140" s="9">
        <v>491.75</v>
      </c>
      <c r="R140" s="9">
        <v>718.6</v>
      </c>
      <c r="S140" s="9">
        <v>1.8225</v>
      </c>
      <c r="T140" s="9">
        <v>2.8546999999999998</v>
      </c>
      <c r="U140" s="10">
        <v>800.5</v>
      </c>
      <c r="V140">
        <v>72.650000000000006</v>
      </c>
      <c r="W140">
        <v>77.59</v>
      </c>
      <c r="X140">
        <v>2.2387000000000001</v>
      </c>
    </row>
    <row r="141" spans="1:24" x14ac:dyDescent="0.25">
      <c r="A141" s="11"/>
      <c r="B141" s="12"/>
      <c r="C141" s="18">
        <v>46128</v>
      </c>
      <c r="D141" s="9">
        <v>636</v>
      </c>
      <c r="E141" s="9">
        <v>680.5</v>
      </c>
      <c r="F141" s="9">
        <v>6.9749999999999996</v>
      </c>
      <c r="G141" s="9">
        <v>476.75</v>
      </c>
      <c r="H141" s="9">
        <v>1168.25</v>
      </c>
      <c r="I141" s="9">
        <v>317.2</v>
      </c>
      <c r="J141" s="9">
        <v>63.59</v>
      </c>
      <c r="K141" s="9">
        <v>4420</v>
      </c>
      <c r="L141" s="9">
        <v>9261</v>
      </c>
      <c r="M141" s="9">
        <v>3027</v>
      </c>
      <c r="N141" s="9">
        <v>8358</v>
      </c>
      <c r="O141" s="9">
        <v>2317</v>
      </c>
      <c r="P141" s="9">
        <v>9378</v>
      </c>
      <c r="Q141" s="9">
        <v>504.25</v>
      </c>
      <c r="R141" s="9">
        <v>729.8</v>
      </c>
      <c r="S141" s="9">
        <v>1.8174999999999999</v>
      </c>
      <c r="T141" s="9">
        <v>3.0436999999999999</v>
      </c>
      <c r="U141" s="10">
        <v>856.5</v>
      </c>
      <c r="V141">
        <v>76.59</v>
      </c>
      <c r="W141">
        <v>81.72</v>
      </c>
      <c r="X141">
        <v>2.3513999999999999</v>
      </c>
    </row>
    <row r="142" spans="1:24" x14ac:dyDescent="0.25">
      <c r="A142" s="8"/>
      <c r="B142" s="9"/>
      <c r="C142" s="18">
        <v>46127</v>
      </c>
      <c r="D142" s="9">
        <v>632</v>
      </c>
      <c r="E142" s="9">
        <v>669.5</v>
      </c>
      <c r="F142" s="9">
        <v>6.8525</v>
      </c>
      <c r="G142" s="9">
        <v>478</v>
      </c>
      <c r="H142" s="9">
        <v>1166.25</v>
      </c>
      <c r="I142" s="9">
        <v>321</v>
      </c>
      <c r="J142" s="9">
        <v>62.54</v>
      </c>
      <c r="K142" s="9">
        <v>4414</v>
      </c>
      <c r="L142" s="9">
        <v>9249</v>
      </c>
      <c r="M142" s="9">
        <v>3017</v>
      </c>
      <c r="N142" s="9">
        <v>8336</v>
      </c>
      <c r="O142" s="9">
        <v>2315</v>
      </c>
      <c r="P142" s="9">
        <v>9367</v>
      </c>
      <c r="Q142" s="9">
        <v>498.25</v>
      </c>
      <c r="R142" s="9">
        <v>726.6</v>
      </c>
      <c r="S142" s="9">
        <v>1.82</v>
      </c>
      <c r="T142" s="9">
        <v>3.0085000000000002</v>
      </c>
      <c r="U142" s="10">
        <v>844.75</v>
      </c>
      <c r="V142">
        <v>76.400000000000006</v>
      </c>
      <c r="W142">
        <v>81.28</v>
      </c>
      <c r="X142">
        <v>2.3342999999999998</v>
      </c>
    </row>
    <row r="143" spans="1:24" x14ac:dyDescent="0.25">
      <c r="A143" s="11"/>
      <c r="B143" s="12"/>
      <c r="C143" s="18">
        <v>46126</v>
      </c>
      <c r="D143" s="9">
        <v>630.5</v>
      </c>
      <c r="E143" s="9">
        <v>666.75</v>
      </c>
      <c r="F143" s="9">
        <v>6.83</v>
      </c>
      <c r="G143" s="9">
        <v>470.5</v>
      </c>
      <c r="H143" s="9">
        <v>1155.25</v>
      </c>
      <c r="I143" s="9">
        <v>318.3</v>
      </c>
      <c r="J143" s="9">
        <v>62.11</v>
      </c>
      <c r="K143" s="9">
        <v>4422</v>
      </c>
      <c r="L143" s="9">
        <v>9315</v>
      </c>
      <c r="M143" s="9">
        <v>3026</v>
      </c>
      <c r="N143" s="9">
        <v>8386</v>
      </c>
      <c r="O143" s="9">
        <v>2322</v>
      </c>
      <c r="P143" s="9">
        <v>9381</v>
      </c>
      <c r="Q143" s="9">
        <v>496</v>
      </c>
      <c r="R143" s="9">
        <v>724.5</v>
      </c>
      <c r="S143" s="9">
        <v>1.8274999999999999</v>
      </c>
      <c r="T143" s="9">
        <v>2.9964</v>
      </c>
      <c r="U143" s="10">
        <v>845.5</v>
      </c>
      <c r="V143">
        <v>75.739999999999995</v>
      </c>
      <c r="W143">
        <v>80.459999999999994</v>
      </c>
      <c r="X143">
        <v>2.3144999999999998</v>
      </c>
    </row>
    <row r="144" spans="1:24" x14ac:dyDescent="0.25">
      <c r="A144" s="8"/>
      <c r="B144" s="9"/>
      <c r="C144" s="18">
        <v>46125</v>
      </c>
      <c r="D144" s="9">
        <v>621</v>
      </c>
      <c r="E144" s="9">
        <v>647.25</v>
      </c>
      <c r="F144" s="9">
        <v>6.71</v>
      </c>
      <c r="G144" s="9">
        <v>471</v>
      </c>
      <c r="H144" s="9">
        <v>1160.75</v>
      </c>
      <c r="I144" s="9">
        <v>319.5</v>
      </c>
      <c r="J144" s="9">
        <v>62.52</v>
      </c>
      <c r="K144" s="9">
        <v>4493</v>
      </c>
      <c r="L144" s="9">
        <v>9408</v>
      </c>
      <c r="M144" s="9">
        <v>3031</v>
      </c>
      <c r="N144" s="9">
        <v>8425</v>
      </c>
      <c r="O144" s="9">
        <v>2326</v>
      </c>
      <c r="P144" s="9">
        <v>9420</v>
      </c>
      <c r="Q144" s="9">
        <v>500</v>
      </c>
      <c r="R144" s="9">
        <v>725.4</v>
      </c>
      <c r="S144" s="9">
        <v>1.8325</v>
      </c>
      <c r="T144" s="9">
        <v>3.0592999999999999</v>
      </c>
      <c r="U144" s="10">
        <v>878.25</v>
      </c>
      <c r="V144">
        <v>77.34</v>
      </c>
      <c r="W144">
        <v>82.08</v>
      </c>
      <c r="X144">
        <v>2.3515000000000001</v>
      </c>
    </row>
    <row r="145" spans="1:24" x14ac:dyDescent="0.25">
      <c r="A145" s="11"/>
      <c r="B145" s="12"/>
      <c r="C145" s="18">
        <v>46122</v>
      </c>
      <c r="D145" s="9">
        <v>611.5</v>
      </c>
      <c r="E145" s="9">
        <v>637.75</v>
      </c>
      <c r="F145" s="9">
        <v>6.6</v>
      </c>
      <c r="G145" s="9">
        <v>472.25</v>
      </c>
      <c r="H145" s="9">
        <v>1168.25</v>
      </c>
      <c r="I145" s="9">
        <v>320.7</v>
      </c>
      <c r="J145" s="9">
        <v>63.25</v>
      </c>
      <c r="K145" s="9">
        <v>4454</v>
      </c>
      <c r="L145" s="9">
        <v>9478</v>
      </c>
      <c r="M145" s="9">
        <v>3031</v>
      </c>
      <c r="N145" s="9">
        <v>8449</v>
      </c>
      <c r="O145" s="9">
        <v>2329</v>
      </c>
      <c r="P145" s="9">
        <v>9456</v>
      </c>
      <c r="Q145" s="9">
        <v>497.25</v>
      </c>
      <c r="R145" s="9">
        <v>726</v>
      </c>
      <c r="S145" s="9">
        <v>1.83</v>
      </c>
      <c r="T145" s="9">
        <v>3.0095000000000001</v>
      </c>
      <c r="U145" s="10">
        <v>852.75</v>
      </c>
      <c r="V145">
        <v>75.25</v>
      </c>
      <c r="W145">
        <v>80.099999999999994</v>
      </c>
      <c r="X145">
        <v>2.2951000000000001</v>
      </c>
    </row>
    <row r="146" spans="1:24" x14ac:dyDescent="0.25">
      <c r="A146" s="8"/>
      <c r="B146" s="9"/>
      <c r="C146" s="18">
        <v>46121</v>
      </c>
      <c r="D146" s="9">
        <v>615.75</v>
      </c>
      <c r="E146" s="9">
        <v>639.5</v>
      </c>
      <c r="F146" s="9">
        <v>6.6574999999999998</v>
      </c>
      <c r="G146" s="9">
        <v>474.25</v>
      </c>
      <c r="H146" s="9">
        <v>1163.25</v>
      </c>
      <c r="I146" s="9">
        <v>312.10000000000002</v>
      </c>
      <c r="J146" s="9">
        <v>63.78</v>
      </c>
      <c r="K146" s="9">
        <v>4551</v>
      </c>
      <c r="L146" s="9">
        <v>9396</v>
      </c>
      <c r="M146" s="9">
        <v>3023</v>
      </c>
      <c r="N146" s="9">
        <v>8404</v>
      </c>
      <c r="O146" s="9">
        <v>2318</v>
      </c>
      <c r="P146" s="9">
        <v>9403</v>
      </c>
      <c r="Q146" s="9">
        <v>495.25</v>
      </c>
      <c r="R146" s="9">
        <v>727.1</v>
      </c>
      <c r="S146" s="9">
        <v>1.825</v>
      </c>
      <c r="T146" s="9">
        <v>3.0034000000000001</v>
      </c>
      <c r="U146" s="10">
        <v>859.25</v>
      </c>
      <c r="V146">
        <v>74.39</v>
      </c>
      <c r="W146">
        <v>79.239999999999995</v>
      </c>
      <c r="X146">
        <v>2.2610999999999999</v>
      </c>
    </row>
    <row r="147" spans="1:24" x14ac:dyDescent="0.25">
      <c r="A147" s="11"/>
      <c r="B147" s="12"/>
      <c r="C147" s="18">
        <v>46120</v>
      </c>
      <c r="D147" s="9">
        <v>623</v>
      </c>
      <c r="E147" s="9">
        <v>646.25</v>
      </c>
      <c r="F147" s="9">
        <v>6.7074999999999996</v>
      </c>
      <c r="G147" s="9">
        <v>476</v>
      </c>
      <c r="H147" s="9">
        <v>1162</v>
      </c>
      <c r="I147" s="9">
        <v>310.5</v>
      </c>
      <c r="J147" s="9">
        <v>63.4</v>
      </c>
      <c r="K147" s="9">
        <v>4465</v>
      </c>
      <c r="L147" s="9">
        <v>9414</v>
      </c>
      <c r="M147" s="9">
        <v>3014</v>
      </c>
      <c r="N147" s="9">
        <v>8476</v>
      </c>
      <c r="O147" s="9">
        <v>2306</v>
      </c>
      <c r="P147" s="9">
        <v>9501</v>
      </c>
      <c r="Q147" s="9">
        <v>495.75</v>
      </c>
      <c r="R147" s="9">
        <v>721.5</v>
      </c>
      <c r="S147" s="9">
        <v>1.8274999999999999</v>
      </c>
      <c r="T147" s="9">
        <v>2.9645000000000001</v>
      </c>
      <c r="U147" s="10">
        <v>832.75</v>
      </c>
      <c r="V147">
        <v>74.22</v>
      </c>
      <c r="W147">
        <v>79.25</v>
      </c>
      <c r="X147">
        <v>2.2610000000000001</v>
      </c>
    </row>
    <row r="148" spans="1:24" x14ac:dyDescent="0.25">
      <c r="A148" s="8"/>
      <c r="B148" s="9"/>
      <c r="C148" s="18">
        <v>46119</v>
      </c>
      <c r="D148" s="9">
        <v>638.75</v>
      </c>
      <c r="E148" s="9">
        <v>656.5</v>
      </c>
      <c r="F148" s="9">
        <v>6.8574999999999999</v>
      </c>
      <c r="G148" s="9">
        <v>478</v>
      </c>
      <c r="H148" s="9">
        <v>1160.75</v>
      </c>
      <c r="I148" s="9">
        <v>307.10000000000002</v>
      </c>
      <c r="J148" s="9">
        <v>65.37</v>
      </c>
      <c r="K148" s="9">
        <v>4617</v>
      </c>
      <c r="L148" s="9">
        <v>9770</v>
      </c>
      <c r="M148" s="9">
        <v>3006</v>
      </c>
      <c r="N148" s="9">
        <v>8676</v>
      </c>
      <c r="O148" s="9">
        <v>2301</v>
      </c>
      <c r="P148" s="9">
        <v>9671</v>
      </c>
      <c r="Q148" s="9">
        <v>504</v>
      </c>
      <c r="R148" s="9">
        <v>734.2</v>
      </c>
      <c r="S148" s="9">
        <v>1.85</v>
      </c>
      <c r="T148" s="9">
        <v>3.0493000000000001</v>
      </c>
      <c r="U148" s="10">
        <v>883.5</v>
      </c>
      <c r="V148">
        <v>75.180000000000007</v>
      </c>
      <c r="W148">
        <v>80.61</v>
      </c>
      <c r="X148">
        <v>2.2959999999999998</v>
      </c>
    </row>
    <row r="149" spans="1:24" x14ac:dyDescent="0.25">
      <c r="A149" s="11"/>
      <c r="B149" s="12"/>
      <c r="C149" s="18">
        <v>46118</v>
      </c>
      <c r="D149" s="9">
        <v>637.5</v>
      </c>
      <c r="E149" s="9">
        <v>657.25</v>
      </c>
      <c r="F149" s="9">
        <v>6.8849999999999998</v>
      </c>
      <c r="G149" s="9">
        <v>483</v>
      </c>
      <c r="H149" s="9">
        <v>1167</v>
      </c>
      <c r="I149" s="9">
        <v>309</v>
      </c>
      <c r="J149" s="9">
        <v>65.61</v>
      </c>
      <c r="K149" s="9">
        <v>4658</v>
      </c>
      <c r="L149" s="9"/>
      <c r="M149" s="9"/>
      <c r="N149" s="9"/>
      <c r="O149" s="9"/>
      <c r="P149" s="9"/>
      <c r="Q149" s="9"/>
      <c r="R149" s="9">
        <v>738.9</v>
      </c>
      <c r="S149" s="9">
        <v>1.86</v>
      </c>
      <c r="T149" s="9">
        <v>2.9950000000000001</v>
      </c>
      <c r="U149" s="10">
        <v>858.75</v>
      </c>
      <c r="V149">
        <v>73.86</v>
      </c>
      <c r="W149">
        <v>79.3</v>
      </c>
      <c r="X149">
        <v>2.2654000000000001</v>
      </c>
    </row>
    <row r="150" spans="1:24" x14ac:dyDescent="0.25">
      <c r="A150" s="8"/>
      <c r="B150" s="9"/>
      <c r="C150" s="18">
        <v>46115</v>
      </c>
      <c r="D150" s="9">
        <v>639</v>
      </c>
      <c r="E150" s="9">
        <v>661.75</v>
      </c>
      <c r="F150" s="9"/>
      <c r="G150" s="9">
        <v>481.25</v>
      </c>
      <c r="H150" s="9">
        <v>1163.75</v>
      </c>
      <c r="I150" s="9">
        <v>309.10000000000002</v>
      </c>
      <c r="J150" s="9">
        <v>65.150000000000006</v>
      </c>
      <c r="K150" s="9">
        <v>4658</v>
      </c>
      <c r="L150" s="9">
        <v>9744</v>
      </c>
      <c r="M150" s="9">
        <v>3016</v>
      </c>
      <c r="N150" s="9">
        <v>8624</v>
      </c>
      <c r="O150" s="9">
        <v>2310</v>
      </c>
      <c r="P150" s="9">
        <v>9679</v>
      </c>
      <c r="Q150" s="9"/>
      <c r="R150" s="9"/>
      <c r="S150" s="9">
        <v>1.8425</v>
      </c>
      <c r="T150" s="9">
        <v>2.9146999999999998</v>
      </c>
      <c r="U150" s="10"/>
      <c r="V150">
        <v>72.11</v>
      </c>
      <c r="X150">
        <v>2.2258</v>
      </c>
    </row>
    <row r="151" spans="1:24" x14ac:dyDescent="0.25">
      <c r="A151" s="11"/>
      <c r="B151" s="12"/>
      <c r="C151" s="18">
        <v>46114</v>
      </c>
      <c r="D151" s="9">
        <v>639</v>
      </c>
      <c r="E151" s="9">
        <v>661.75</v>
      </c>
      <c r="F151" s="9">
        <v>6.9074999999999998</v>
      </c>
      <c r="G151" s="9">
        <v>481.25</v>
      </c>
      <c r="H151" s="9">
        <v>1163.75</v>
      </c>
      <c r="I151" s="9">
        <v>309.10000000000002</v>
      </c>
      <c r="J151" s="9">
        <v>65.150000000000006</v>
      </c>
      <c r="K151" s="9">
        <v>4616</v>
      </c>
      <c r="L151" s="9">
        <v>9634</v>
      </c>
      <c r="M151" s="9">
        <v>3013</v>
      </c>
      <c r="N151" s="9">
        <v>8578</v>
      </c>
      <c r="O151" s="9">
        <v>2323</v>
      </c>
      <c r="P151" s="9">
        <v>9669</v>
      </c>
      <c r="Q151" s="9">
        <v>503.5</v>
      </c>
      <c r="R151" s="9">
        <v>739.8</v>
      </c>
      <c r="S151" s="9">
        <v>1.8425</v>
      </c>
      <c r="T151" s="9">
        <v>2.9146999999999998</v>
      </c>
      <c r="U151" s="10">
        <v>827</v>
      </c>
      <c r="V151">
        <v>72.11</v>
      </c>
      <c r="W151">
        <v>77.790000000000006</v>
      </c>
      <c r="X151">
        <v>2.2258</v>
      </c>
    </row>
    <row r="152" spans="1:24" x14ac:dyDescent="0.25">
      <c r="A152" s="8"/>
      <c r="B152" s="9"/>
      <c r="C152" s="18">
        <v>46113</v>
      </c>
      <c r="D152" s="9">
        <v>638.5</v>
      </c>
      <c r="E152" s="9">
        <v>659.25</v>
      </c>
      <c r="F152" s="9">
        <v>6.8674999999999997</v>
      </c>
      <c r="G152" s="9">
        <v>481.25</v>
      </c>
      <c r="H152" s="9">
        <v>1165.25</v>
      </c>
      <c r="I152" s="9">
        <v>313.3</v>
      </c>
      <c r="J152" s="9">
        <v>64.03</v>
      </c>
      <c r="K152" s="9">
        <v>4590</v>
      </c>
      <c r="L152" s="9">
        <v>9762</v>
      </c>
      <c r="M152" s="9">
        <v>3021</v>
      </c>
      <c r="N152" s="9">
        <v>8618</v>
      </c>
      <c r="O152" s="9">
        <v>2334</v>
      </c>
      <c r="P152" s="9">
        <v>9723</v>
      </c>
      <c r="Q152" s="9">
        <v>499</v>
      </c>
      <c r="R152" s="9">
        <v>731.4</v>
      </c>
      <c r="S152" s="9">
        <v>1.83</v>
      </c>
      <c r="T152" s="9">
        <v>2.8755000000000002</v>
      </c>
      <c r="U152" s="10">
        <v>815</v>
      </c>
      <c r="V152">
        <v>71.39</v>
      </c>
      <c r="W152">
        <v>77.010000000000005</v>
      </c>
      <c r="X152">
        <v>2.1974999999999998</v>
      </c>
    </row>
    <row r="153" spans="1:24" x14ac:dyDescent="0.25">
      <c r="A153" s="11"/>
      <c r="B153" s="12"/>
      <c r="C153" s="18">
        <v>46112</v>
      </c>
      <c r="D153" s="9">
        <v>654.5</v>
      </c>
      <c r="E153" s="9">
        <v>678</v>
      </c>
      <c r="F153" s="9">
        <v>6.9924999999999997</v>
      </c>
      <c r="G153" s="9">
        <v>484.25</v>
      </c>
      <c r="H153" s="9">
        <v>1167.5</v>
      </c>
      <c r="I153" s="9">
        <v>311.5</v>
      </c>
      <c r="J153" s="9">
        <v>65.3</v>
      </c>
      <c r="K153" s="9">
        <v>4687</v>
      </c>
      <c r="L153" s="9">
        <v>9676</v>
      </c>
      <c r="M153" s="9">
        <v>3028</v>
      </c>
      <c r="N153" s="9">
        <v>8606</v>
      </c>
      <c r="O153" s="9">
        <v>2349</v>
      </c>
      <c r="P153" s="9">
        <v>9733</v>
      </c>
      <c r="Q153" s="9">
        <v>507.5</v>
      </c>
      <c r="R153" s="9">
        <v>742.2</v>
      </c>
      <c r="S153" s="9">
        <v>1.855</v>
      </c>
      <c r="T153" s="9">
        <v>2.8963999999999999</v>
      </c>
      <c r="U153" s="10">
        <v>849</v>
      </c>
      <c r="V153">
        <v>72.47</v>
      </c>
      <c r="W153">
        <v>78.430000000000007</v>
      </c>
      <c r="X153">
        <v>2.2258</v>
      </c>
    </row>
    <row r="154" spans="1:24" x14ac:dyDescent="0.25">
      <c r="A154" s="8"/>
      <c r="B154" s="9"/>
      <c r="C154" s="18">
        <v>46111</v>
      </c>
      <c r="D154" s="9">
        <v>648</v>
      </c>
      <c r="E154" s="9">
        <v>672</v>
      </c>
      <c r="F154" s="9">
        <v>6.92</v>
      </c>
      <c r="G154" s="9">
        <v>484</v>
      </c>
      <c r="H154" s="9">
        <v>1154.75</v>
      </c>
      <c r="I154" s="9">
        <v>309.10000000000002</v>
      </c>
      <c r="J154" s="9">
        <v>64.94</v>
      </c>
      <c r="K154" s="9">
        <v>4643</v>
      </c>
      <c r="L154" s="9">
        <v>9580</v>
      </c>
      <c r="M154" s="9">
        <v>3046</v>
      </c>
      <c r="N154" s="9">
        <v>8558</v>
      </c>
      <c r="O154" s="9">
        <v>2369</v>
      </c>
      <c r="P154" s="9">
        <v>9690</v>
      </c>
      <c r="Q154" s="9">
        <v>501.75</v>
      </c>
      <c r="R154" s="9">
        <v>740.1</v>
      </c>
      <c r="S154" s="9">
        <v>1.865</v>
      </c>
      <c r="T154" s="9">
        <v>3.0059</v>
      </c>
      <c r="U154" s="10">
        <v>870.75</v>
      </c>
      <c r="V154">
        <v>76.84</v>
      </c>
      <c r="W154">
        <v>82.67</v>
      </c>
      <c r="X154">
        <v>2.3214000000000001</v>
      </c>
    </row>
    <row r="155" spans="1:24" x14ac:dyDescent="0.25">
      <c r="A155" s="11"/>
      <c r="B155" s="12"/>
      <c r="C155" s="18">
        <v>46108</v>
      </c>
      <c r="D155" s="9">
        <v>646</v>
      </c>
      <c r="E155" s="9">
        <v>678.5</v>
      </c>
      <c r="F155" s="9">
        <v>6.8975</v>
      </c>
      <c r="G155" s="9">
        <v>490.25</v>
      </c>
      <c r="H155" s="9">
        <v>1155</v>
      </c>
      <c r="I155" s="9">
        <v>309</v>
      </c>
      <c r="J155" s="9">
        <v>64.209999999999994</v>
      </c>
      <c r="K155" s="9">
        <v>4511</v>
      </c>
      <c r="L155" s="9">
        <v>9512</v>
      </c>
      <c r="M155" s="9">
        <v>3053</v>
      </c>
      <c r="N155" s="9">
        <v>8552</v>
      </c>
      <c r="O155" s="9">
        <v>2373</v>
      </c>
      <c r="P155" s="9">
        <v>9688</v>
      </c>
      <c r="Q155" s="9">
        <v>495.75</v>
      </c>
      <c r="R155" s="9">
        <v>734.5</v>
      </c>
      <c r="S155" s="9">
        <v>1.88</v>
      </c>
      <c r="T155" s="9">
        <v>3.0284</v>
      </c>
      <c r="U155" s="10">
        <v>866.75</v>
      </c>
      <c r="V155">
        <v>77.36</v>
      </c>
      <c r="W155">
        <v>83.12</v>
      </c>
      <c r="X155">
        <v>2.3207</v>
      </c>
    </row>
    <row r="156" spans="1:24" x14ac:dyDescent="0.25">
      <c r="A156" s="8"/>
      <c r="B156" s="9"/>
      <c r="C156" s="18">
        <v>46107</v>
      </c>
      <c r="D156" s="9">
        <v>646</v>
      </c>
      <c r="E156" s="9">
        <v>673.25</v>
      </c>
      <c r="F156" s="9">
        <v>6.875</v>
      </c>
      <c r="G156" s="9">
        <v>494.5</v>
      </c>
      <c r="H156" s="9">
        <v>1163.5</v>
      </c>
      <c r="I156" s="9">
        <v>313.3</v>
      </c>
      <c r="J156" s="9">
        <v>64.47</v>
      </c>
      <c r="K156" s="9">
        <v>4488</v>
      </c>
      <c r="L156" s="9">
        <v>9440</v>
      </c>
      <c r="M156" s="9">
        <v>3061</v>
      </c>
      <c r="N156" s="9">
        <v>8502</v>
      </c>
      <c r="O156" s="9">
        <v>2378</v>
      </c>
      <c r="P156" s="9">
        <v>9627</v>
      </c>
      <c r="Q156" s="9">
        <v>496</v>
      </c>
      <c r="R156" s="9">
        <v>742.9</v>
      </c>
      <c r="S156" s="9">
        <v>1.8474999999999999</v>
      </c>
      <c r="T156" s="9">
        <v>3.0219</v>
      </c>
      <c r="U156" s="10">
        <v>858.75</v>
      </c>
      <c r="V156">
        <v>77.650000000000006</v>
      </c>
      <c r="W156">
        <v>83.14</v>
      </c>
      <c r="X156">
        <v>2.3218999999999999</v>
      </c>
    </row>
    <row r="157" spans="1:24" x14ac:dyDescent="0.25">
      <c r="A157" s="11"/>
      <c r="B157" s="12"/>
      <c r="C157" s="18">
        <v>46106</v>
      </c>
      <c r="D157" s="9">
        <v>640</v>
      </c>
      <c r="E157" s="9">
        <v>666.25</v>
      </c>
      <c r="F157" s="9">
        <v>6.8250000000000002</v>
      </c>
      <c r="G157" s="9">
        <v>493.25</v>
      </c>
      <c r="H157" s="9">
        <v>1161.25</v>
      </c>
      <c r="I157" s="9">
        <v>312.10000000000002</v>
      </c>
      <c r="J157" s="9">
        <v>63.86</v>
      </c>
      <c r="K157" s="9">
        <v>4403</v>
      </c>
      <c r="L157" s="9">
        <v>9392</v>
      </c>
      <c r="M157" s="9">
        <v>3052</v>
      </c>
      <c r="N157" s="9">
        <v>8462</v>
      </c>
      <c r="O157" s="9">
        <v>2378</v>
      </c>
      <c r="P157" s="9">
        <v>9632</v>
      </c>
      <c r="Q157" s="9">
        <v>494</v>
      </c>
      <c r="R157" s="9">
        <v>739.5</v>
      </c>
      <c r="S157" s="9">
        <v>1.8374999999999999</v>
      </c>
      <c r="T157" s="9">
        <v>2.9171999999999998</v>
      </c>
      <c r="U157" s="10">
        <v>819</v>
      </c>
      <c r="V157">
        <v>76</v>
      </c>
      <c r="W157">
        <v>81.209999999999994</v>
      </c>
      <c r="X157">
        <v>2.2692000000000001</v>
      </c>
    </row>
    <row r="158" spans="1:24" x14ac:dyDescent="0.25">
      <c r="A158" s="8"/>
      <c r="B158" s="9"/>
      <c r="C158" s="18">
        <v>46105</v>
      </c>
      <c r="D158" s="9">
        <v>633.75</v>
      </c>
      <c r="E158" s="9">
        <v>653.75</v>
      </c>
      <c r="F158" s="9">
        <v>6.7525000000000004</v>
      </c>
      <c r="G158" s="9">
        <v>489</v>
      </c>
      <c r="H158" s="9">
        <v>1154.75</v>
      </c>
      <c r="I158" s="9">
        <v>313.10000000000002</v>
      </c>
      <c r="J158" s="9">
        <v>62.87</v>
      </c>
      <c r="K158" s="9">
        <v>4398</v>
      </c>
      <c r="L158" s="9">
        <v>9510</v>
      </c>
      <c r="M158" s="9">
        <v>3069</v>
      </c>
      <c r="N158" s="9">
        <v>8518</v>
      </c>
      <c r="O158" s="9">
        <v>2392</v>
      </c>
      <c r="P158" s="9">
        <v>9608</v>
      </c>
      <c r="Q158" s="9">
        <v>492.5</v>
      </c>
      <c r="R158" s="9">
        <v>734.8</v>
      </c>
      <c r="S158" s="9">
        <v>1.835</v>
      </c>
      <c r="T158" s="9">
        <v>2.9489999999999998</v>
      </c>
      <c r="U158" s="10">
        <v>842.5</v>
      </c>
      <c r="V158">
        <v>76.760000000000005</v>
      </c>
      <c r="W158">
        <v>82.46</v>
      </c>
      <c r="X158">
        <v>2.3069000000000002</v>
      </c>
    </row>
    <row r="159" spans="1:24" x14ac:dyDescent="0.25">
      <c r="A159" s="11"/>
      <c r="B159" s="12"/>
      <c r="C159" s="18">
        <v>46104</v>
      </c>
      <c r="D159" s="9">
        <v>631.5</v>
      </c>
      <c r="E159" s="9">
        <v>652</v>
      </c>
      <c r="F159" s="9">
        <v>6.72</v>
      </c>
      <c r="G159" s="9">
        <v>486.5</v>
      </c>
      <c r="H159" s="9">
        <v>1157.5</v>
      </c>
      <c r="I159" s="9">
        <v>316.2</v>
      </c>
      <c r="J159" s="9">
        <v>62.44</v>
      </c>
      <c r="K159" s="9"/>
      <c r="L159" s="9">
        <v>9574</v>
      </c>
      <c r="M159" s="9">
        <v>3083</v>
      </c>
      <c r="N159" s="9">
        <v>8592</v>
      </c>
      <c r="O159" s="9">
        <v>2411</v>
      </c>
      <c r="P159" s="9">
        <v>9676</v>
      </c>
      <c r="Q159" s="9">
        <v>489.5</v>
      </c>
      <c r="R159" s="9">
        <v>732.3</v>
      </c>
      <c r="S159" s="9">
        <v>1.8374999999999999</v>
      </c>
      <c r="T159" s="9">
        <v>2.8083999999999998</v>
      </c>
      <c r="U159" s="10">
        <v>829.5</v>
      </c>
      <c r="V159">
        <v>73.59</v>
      </c>
      <c r="W159">
        <v>79.540000000000006</v>
      </c>
      <c r="X159">
        <v>2.2170999999999998</v>
      </c>
    </row>
    <row r="160" spans="1:24" x14ac:dyDescent="0.25">
      <c r="A160" s="8"/>
      <c r="B160" s="9"/>
      <c r="C160" s="18">
        <v>46101</v>
      </c>
      <c r="D160" s="9">
        <v>637.75</v>
      </c>
      <c r="E160" s="9">
        <v>654.75</v>
      </c>
      <c r="F160" s="9">
        <v>6.7149999999999999</v>
      </c>
      <c r="G160" s="9">
        <v>490.75</v>
      </c>
      <c r="H160" s="9">
        <v>1151.5</v>
      </c>
      <c r="I160" s="9">
        <v>318.10000000000002</v>
      </c>
      <c r="J160" s="9">
        <v>62.27</v>
      </c>
      <c r="K160" s="9"/>
      <c r="L160" s="9">
        <v>9428</v>
      </c>
      <c r="M160" s="9">
        <v>3067</v>
      </c>
      <c r="N160" s="9">
        <v>8514</v>
      </c>
      <c r="O160" s="9">
        <v>2403</v>
      </c>
      <c r="P160" s="9">
        <v>9610</v>
      </c>
      <c r="Q160" s="9">
        <v>492.75</v>
      </c>
      <c r="R160" s="9">
        <v>735.5</v>
      </c>
      <c r="S160" s="9">
        <v>1.8474999999999999</v>
      </c>
      <c r="T160" s="9">
        <v>3.0203000000000002</v>
      </c>
      <c r="U160" s="10">
        <v>852.25</v>
      </c>
      <c r="V160">
        <v>78.58</v>
      </c>
      <c r="W160">
        <v>84.62</v>
      </c>
      <c r="X160">
        <v>2.3479999999999999</v>
      </c>
    </row>
    <row r="161" spans="1:24" x14ac:dyDescent="0.25">
      <c r="A161" s="11"/>
      <c r="B161" s="12"/>
      <c r="C161" s="18">
        <v>46100</v>
      </c>
      <c r="D161" s="9">
        <v>650</v>
      </c>
      <c r="E161" s="9">
        <v>675.75</v>
      </c>
      <c r="F161" s="9">
        <v>6.8624999999999998</v>
      </c>
      <c r="G161" s="9">
        <v>494.5</v>
      </c>
      <c r="H161" s="9">
        <v>1156.75</v>
      </c>
      <c r="I161" s="9">
        <v>321.5</v>
      </c>
      <c r="J161" s="9">
        <v>62.27</v>
      </c>
      <c r="K161" s="9">
        <v>4445</v>
      </c>
      <c r="L161" s="9">
        <v>9482</v>
      </c>
      <c r="M161" s="9">
        <v>3048</v>
      </c>
      <c r="N161" s="9">
        <v>8520</v>
      </c>
      <c r="O161" s="9">
        <v>2382</v>
      </c>
      <c r="P161" s="9">
        <v>9622</v>
      </c>
      <c r="Q161" s="9">
        <v>492.25</v>
      </c>
      <c r="R161" s="9">
        <v>737.9</v>
      </c>
      <c r="S161" s="9">
        <v>1.845</v>
      </c>
      <c r="T161" s="9">
        <v>2.907</v>
      </c>
      <c r="U161" s="10">
        <v>831.75</v>
      </c>
      <c r="V161">
        <v>78.41</v>
      </c>
      <c r="W161">
        <v>83.96</v>
      </c>
      <c r="X161">
        <v>2.3285999999999998</v>
      </c>
    </row>
    <row r="162" spans="1:24" x14ac:dyDescent="0.25">
      <c r="A162" s="8"/>
      <c r="B162" s="9"/>
      <c r="C162" s="18">
        <v>46099</v>
      </c>
      <c r="D162" s="9">
        <v>644.25</v>
      </c>
      <c r="E162" s="9">
        <v>673.5</v>
      </c>
      <c r="F162" s="9">
        <v>6.8075000000000001</v>
      </c>
      <c r="G162" s="9">
        <v>489.75</v>
      </c>
      <c r="H162" s="9">
        <v>1152.25</v>
      </c>
      <c r="I162" s="9">
        <v>314.7</v>
      </c>
      <c r="J162" s="9">
        <v>62.43</v>
      </c>
      <c r="K162" s="9">
        <v>4348</v>
      </c>
      <c r="L162" s="9">
        <v>9534</v>
      </c>
      <c r="M162" s="9">
        <v>3043</v>
      </c>
      <c r="N162" s="9">
        <v>8494</v>
      </c>
      <c r="O162" s="9">
        <v>2377</v>
      </c>
      <c r="P162" s="9">
        <v>9589</v>
      </c>
      <c r="Q162" s="9">
        <v>493.75</v>
      </c>
      <c r="R162" s="9">
        <v>730.5</v>
      </c>
      <c r="S162" s="9">
        <v>1.8125</v>
      </c>
      <c r="T162" s="9">
        <v>2.8767999999999998</v>
      </c>
      <c r="U162" s="10">
        <v>819.75</v>
      </c>
      <c r="V162">
        <v>77.86</v>
      </c>
      <c r="W162">
        <v>83.39</v>
      </c>
      <c r="X162">
        <v>2.3258000000000001</v>
      </c>
    </row>
    <row r="163" spans="1:24" x14ac:dyDescent="0.25">
      <c r="A163" s="11"/>
      <c r="B163" s="12"/>
      <c r="C163" s="18">
        <v>46098</v>
      </c>
      <c r="D163" s="9">
        <v>630.25</v>
      </c>
      <c r="E163" s="9">
        <v>655</v>
      </c>
      <c r="F163" s="9">
        <v>6.6924999999999999</v>
      </c>
      <c r="G163" s="9">
        <v>481.75</v>
      </c>
      <c r="H163" s="9">
        <v>1142.25</v>
      </c>
      <c r="I163" s="9">
        <v>309.8</v>
      </c>
      <c r="J163" s="9">
        <v>62.5</v>
      </c>
      <c r="K163" s="9">
        <v>4396</v>
      </c>
      <c r="L163" s="9">
        <v>9564</v>
      </c>
      <c r="M163" s="9">
        <v>3045</v>
      </c>
      <c r="N163" s="9">
        <v>8528</v>
      </c>
      <c r="O163" s="9">
        <v>2392</v>
      </c>
      <c r="P163" s="9">
        <v>9636</v>
      </c>
      <c r="Q163" s="9">
        <v>492.5</v>
      </c>
      <c r="R163" s="9">
        <v>731.6</v>
      </c>
      <c r="S163" s="9">
        <v>1.8075000000000001</v>
      </c>
      <c r="T163" s="9">
        <v>2.8258999999999999</v>
      </c>
      <c r="U163" s="10">
        <v>787.5</v>
      </c>
      <c r="V163">
        <v>76.36</v>
      </c>
      <c r="W163">
        <v>81.14</v>
      </c>
      <c r="X163">
        <v>2.2673000000000001</v>
      </c>
    </row>
    <row r="164" spans="1:24" x14ac:dyDescent="0.25">
      <c r="A164" s="8"/>
      <c r="B164" s="9"/>
      <c r="C164" s="18">
        <v>46097</v>
      </c>
      <c r="D164" s="9">
        <v>638.25</v>
      </c>
      <c r="E164" s="9">
        <v>664</v>
      </c>
      <c r="F164" s="9">
        <v>6.7874999999999996</v>
      </c>
      <c r="G164" s="9">
        <v>480</v>
      </c>
      <c r="H164" s="9">
        <v>1131.75</v>
      </c>
      <c r="I164" s="9">
        <v>310.39999999999998</v>
      </c>
      <c r="J164" s="9">
        <v>60.68</v>
      </c>
      <c r="K164" s="9">
        <v>4469</v>
      </c>
      <c r="L164" s="9">
        <v>9592</v>
      </c>
      <c r="M164" s="9">
        <v>3056</v>
      </c>
      <c r="N164" s="9">
        <v>8614</v>
      </c>
      <c r="O164" s="9">
        <v>2405</v>
      </c>
      <c r="P164" s="9">
        <v>9682</v>
      </c>
      <c r="Q164" s="9">
        <v>486</v>
      </c>
      <c r="R164" s="9">
        <v>703.6</v>
      </c>
      <c r="S164" s="9">
        <v>1.7725</v>
      </c>
      <c r="T164" s="9">
        <v>2.7339000000000002</v>
      </c>
      <c r="U164" s="10">
        <v>786.25</v>
      </c>
      <c r="V164">
        <v>74.77</v>
      </c>
      <c r="W164">
        <v>79.23</v>
      </c>
      <c r="X164">
        <v>2.2103000000000002</v>
      </c>
    </row>
    <row r="165" spans="1:24" x14ac:dyDescent="0.25">
      <c r="A165" s="11"/>
      <c r="B165" s="12"/>
      <c r="C165" s="18">
        <v>46094</v>
      </c>
      <c r="D165" s="9">
        <v>653.75</v>
      </c>
      <c r="E165" s="9">
        <v>677</v>
      </c>
      <c r="F165" s="9">
        <v>6.89</v>
      </c>
      <c r="G165" s="9">
        <v>491.5</v>
      </c>
      <c r="H165" s="9">
        <v>1170.25</v>
      </c>
      <c r="I165" s="9">
        <v>315.5</v>
      </c>
      <c r="J165" s="9">
        <v>64</v>
      </c>
      <c r="K165" s="9">
        <v>4412</v>
      </c>
      <c r="L165" s="9">
        <v>9508</v>
      </c>
      <c r="M165" s="9">
        <v>3079</v>
      </c>
      <c r="N165" s="9">
        <v>8582</v>
      </c>
      <c r="O165" s="9">
        <v>2409</v>
      </c>
      <c r="P165" s="9">
        <v>9649</v>
      </c>
      <c r="Q165" s="9">
        <v>497.75</v>
      </c>
      <c r="R165" s="9">
        <v>738.6</v>
      </c>
      <c r="S165" s="9">
        <v>1.7949999999999999</v>
      </c>
      <c r="T165" s="9">
        <v>2.7865000000000002</v>
      </c>
      <c r="U165" s="10">
        <v>787.75</v>
      </c>
      <c r="V165">
        <v>76.319999999999993</v>
      </c>
      <c r="W165">
        <v>80.48</v>
      </c>
      <c r="X165">
        <v>2.2532000000000001</v>
      </c>
    </row>
    <row r="166" spans="1:24" x14ac:dyDescent="0.25">
      <c r="A166" s="8"/>
      <c r="B166" s="9"/>
      <c r="C166" s="18">
        <v>46093</v>
      </c>
      <c r="D166" s="9">
        <v>639.25</v>
      </c>
      <c r="E166" s="9">
        <v>661.5</v>
      </c>
      <c r="F166" s="9">
        <v>6.7774999999999999</v>
      </c>
      <c r="G166" s="9">
        <v>490</v>
      </c>
      <c r="H166" s="9">
        <v>1176.25</v>
      </c>
      <c r="I166" s="9">
        <v>316.10000000000002</v>
      </c>
      <c r="J166" s="9">
        <v>63.95</v>
      </c>
      <c r="K166" s="9">
        <v>4379</v>
      </c>
      <c r="L166" s="9">
        <v>9472</v>
      </c>
      <c r="M166" s="9">
        <v>3086</v>
      </c>
      <c r="N166" s="9">
        <v>8532</v>
      </c>
      <c r="O166" s="9">
        <v>2406</v>
      </c>
      <c r="P166" s="9">
        <v>9648</v>
      </c>
      <c r="Q166" s="9">
        <v>497.5</v>
      </c>
      <c r="R166" s="9">
        <v>736.4</v>
      </c>
      <c r="S166" s="9">
        <v>1.7749999999999999</v>
      </c>
      <c r="T166" s="9">
        <v>2.7730000000000001</v>
      </c>
      <c r="U166" s="10">
        <v>778.25</v>
      </c>
      <c r="V166">
        <v>75.17</v>
      </c>
      <c r="W166">
        <v>79.239999999999995</v>
      </c>
      <c r="X166">
        <v>2.2349000000000001</v>
      </c>
    </row>
    <row r="167" spans="1:24" x14ac:dyDescent="0.25">
      <c r="A167" s="11"/>
      <c r="B167" s="12"/>
      <c r="C167" s="18">
        <v>46092</v>
      </c>
      <c r="D167" s="9">
        <v>636.5</v>
      </c>
      <c r="E167" s="9">
        <v>661.75</v>
      </c>
      <c r="F167" s="9">
        <v>6.79</v>
      </c>
      <c r="G167" s="9">
        <v>489</v>
      </c>
      <c r="H167" s="9">
        <v>1172</v>
      </c>
      <c r="I167" s="9">
        <v>314.2</v>
      </c>
      <c r="J167" s="9">
        <v>63.8</v>
      </c>
      <c r="K167" s="9">
        <v>4332</v>
      </c>
      <c r="L167" s="9">
        <v>9338</v>
      </c>
      <c r="M167" s="9">
        <v>3078</v>
      </c>
      <c r="N167" s="9">
        <v>8416</v>
      </c>
      <c r="O167" s="9">
        <v>2393</v>
      </c>
      <c r="P167" s="9">
        <v>9587</v>
      </c>
      <c r="Q167" s="9">
        <v>495</v>
      </c>
      <c r="R167" s="9">
        <v>732.6</v>
      </c>
      <c r="S167" s="9">
        <v>1.7775000000000001</v>
      </c>
      <c r="T167" s="9">
        <v>2.6951999999999998</v>
      </c>
      <c r="U167" s="10">
        <v>753.75</v>
      </c>
      <c r="V167">
        <v>72.31</v>
      </c>
      <c r="W167">
        <v>76.63</v>
      </c>
      <c r="X167">
        <v>2.1637</v>
      </c>
    </row>
    <row r="168" spans="1:24" x14ac:dyDescent="0.25">
      <c r="A168" s="8"/>
      <c r="B168" s="9"/>
      <c r="C168" s="18">
        <v>46091</v>
      </c>
      <c r="D168" s="9">
        <v>634</v>
      </c>
      <c r="E168" s="9">
        <v>658</v>
      </c>
      <c r="F168" s="9">
        <v>6.7575000000000003</v>
      </c>
      <c r="G168" s="9">
        <v>479.75</v>
      </c>
      <c r="H168" s="9">
        <v>1162.75</v>
      </c>
      <c r="I168" s="9">
        <v>314.2</v>
      </c>
      <c r="J168" s="9">
        <v>62.27</v>
      </c>
      <c r="K168" s="9">
        <v>4295</v>
      </c>
      <c r="L168" s="9">
        <v>9346</v>
      </c>
      <c r="M168" s="9">
        <v>3069</v>
      </c>
      <c r="N168" s="9">
        <v>8444</v>
      </c>
      <c r="O168" s="9">
        <v>2385</v>
      </c>
      <c r="P168" s="9">
        <v>9628</v>
      </c>
      <c r="Q168" s="9">
        <v>484.5</v>
      </c>
      <c r="R168" s="9">
        <v>720.5</v>
      </c>
      <c r="S168" s="9">
        <v>1.7224999999999999</v>
      </c>
      <c r="T168" s="9">
        <v>2.5880999999999998</v>
      </c>
      <c r="U168" s="10">
        <v>744.5</v>
      </c>
      <c r="V168">
        <v>69.37</v>
      </c>
      <c r="W168">
        <v>73.819999999999993</v>
      </c>
      <c r="X168">
        <v>2.0771000000000002</v>
      </c>
    </row>
    <row r="169" spans="1:24" x14ac:dyDescent="0.25">
      <c r="A169" s="11"/>
      <c r="B169" s="12"/>
      <c r="C169" s="18">
        <v>46090</v>
      </c>
      <c r="D169" s="9">
        <v>641.25</v>
      </c>
      <c r="E169" s="9">
        <v>666</v>
      </c>
      <c r="F169" s="9">
        <v>6.8425000000000002</v>
      </c>
      <c r="G169" s="9">
        <v>481.75</v>
      </c>
      <c r="H169" s="9">
        <v>1157.5</v>
      </c>
      <c r="I169" s="9">
        <v>313.2</v>
      </c>
      <c r="J169" s="9">
        <v>62.55</v>
      </c>
      <c r="K169" s="9">
        <v>4386</v>
      </c>
      <c r="L169" s="9">
        <v>9582</v>
      </c>
      <c r="M169" s="9">
        <v>3133</v>
      </c>
      <c r="N169" s="9">
        <v>8590</v>
      </c>
      <c r="O169" s="9">
        <v>2431</v>
      </c>
      <c r="P169" s="9">
        <v>9814</v>
      </c>
      <c r="Q169" s="9">
        <v>497.5</v>
      </c>
      <c r="R169" s="9">
        <v>724.6</v>
      </c>
      <c r="S169" s="9">
        <v>1.77</v>
      </c>
      <c r="T169" s="9">
        <v>2.6501999999999999</v>
      </c>
      <c r="U169" s="10">
        <v>748.25</v>
      </c>
      <c r="V169">
        <v>71.17</v>
      </c>
      <c r="W169">
        <v>75.88</v>
      </c>
      <c r="X169">
        <v>2.1465999999999998</v>
      </c>
    </row>
    <row r="170" spans="1:24" x14ac:dyDescent="0.25">
      <c r="A170" s="8"/>
      <c r="B170" s="9"/>
      <c r="C170" s="18">
        <v>46087</v>
      </c>
      <c r="D170" s="9">
        <v>652</v>
      </c>
      <c r="E170" s="9">
        <v>668</v>
      </c>
      <c r="F170" s="9">
        <v>6.8075000000000001</v>
      </c>
      <c r="G170" s="9">
        <v>484.5</v>
      </c>
      <c r="H170" s="9">
        <v>1155.25</v>
      </c>
      <c r="I170" s="9">
        <v>314.39999999999998</v>
      </c>
      <c r="J170" s="9">
        <v>62.77</v>
      </c>
      <c r="K170" s="9">
        <v>4300</v>
      </c>
      <c r="L170" s="9">
        <v>9074</v>
      </c>
      <c r="M170" s="9">
        <v>3048</v>
      </c>
      <c r="N170" s="9">
        <v>8344</v>
      </c>
      <c r="O170" s="9">
        <v>2348</v>
      </c>
      <c r="P170" s="9">
        <v>9495</v>
      </c>
      <c r="Q170" s="9">
        <v>491.75</v>
      </c>
      <c r="R170" s="9">
        <v>731.7</v>
      </c>
      <c r="S170" s="9">
        <v>1.7975000000000001</v>
      </c>
      <c r="T170" s="9">
        <v>2.5769000000000002</v>
      </c>
      <c r="U170" s="10">
        <v>730</v>
      </c>
      <c r="V170">
        <v>69.239999999999995</v>
      </c>
      <c r="W170">
        <v>73.31</v>
      </c>
      <c r="X170">
        <v>2.0907</v>
      </c>
    </row>
    <row r="171" spans="1:24" x14ac:dyDescent="0.25">
      <c r="A171" s="11"/>
      <c r="B171" s="12"/>
      <c r="C171" s="18">
        <v>46086</v>
      </c>
      <c r="D171" s="9">
        <v>621.75</v>
      </c>
      <c r="E171" s="9">
        <v>639.5</v>
      </c>
      <c r="F171" s="9">
        <v>6.625</v>
      </c>
      <c r="G171" s="9">
        <v>478</v>
      </c>
      <c r="H171" s="9">
        <v>1146.75</v>
      </c>
      <c r="I171" s="9">
        <v>310</v>
      </c>
      <c r="J171" s="9">
        <v>62.23</v>
      </c>
      <c r="K171" s="9">
        <v>4194</v>
      </c>
      <c r="L171" s="9">
        <v>8994</v>
      </c>
      <c r="M171" s="9">
        <v>3009</v>
      </c>
      <c r="N171" s="9">
        <v>8310</v>
      </c>
      <c r="O171" s="9">
        <v>2318</v>
      </c>
      <c r="P171" s="9">
        <v>9387</v>
      </c>
      <c r="Q171" s="9">
        <v>485.75</v>
      </c>
      <c r="R171" s="9">
        <v>725.2</v>
      </c>
      <c r="S171" s="9">
        <v>1.77</v>
      </c>
      <c r="T171" s="9">
        <v>2.5320999999999998</v>
      </c>
      <c r="U171" s="10">
        <v>723.25</v>
      </c>
      <c r="V171">
        <v>67.31</v>
      </c>
      <c r="W171">
        <v>71.25</v>
      </c>
      <c r="X171">
        <v>2.0421</v>
      </c>
    </row>
    <row r="172" spans="1:24" x14ac:dyDescent="0.25">
      <c r="A172" s="8"/>
      <c r="B172" s="9"/>
      <c r="C172" s="18">
        <v>46085</v>
      </c>
      <c r="D172" s="9">
        <v>607.25</v>
      </c>
      <c r="E172" s="9">
        <v>620.75</v>
      </c>
      <c r="F172" s="9">
        <v>6.56</v>
      </c>
      <c r="G172" s="9">
        <v>470.25</v>
      </c>
      <c r="H172" s="9">
        <v>1141</v>
      </c>
      <c r="I172" s="9">
        <v>311.7</v>
      </c>
      <c r="J172" s="9">
        <v>60.73</v>
      </c>
      <c r="K172" s="9">
        <v>4174</v>
      </c>
      <c r="L172" s="9">
        <v>8980</v>
      </c>
      <c r="M172" s="9">
        <v>3007</v>
      </c>
      <c r="N172" s="9">
        <v>8330</v>
      </c>
      <c r="O172" s="9">
        <v>2321</v>
      </c>
      <c r="P172" s="9">
        <v>9376</v>
      </c>
      <c r="Q172" s="9">
        <v>479.25</v>
      </c>
      <c r="R172" s="9">
        <v>717.4</v>
      </c>
      <c r="S172" s="9">
        <v>1.7350000000000001</v>
      </c>
      <c r="T172" s="9">
        <v>2.4937</v>
      </c>
      <c r="U172" s="10">
        <v>713.75</v>
      </c>
      <c r="V172">
        <v>65.7</v>
      </c>
      <c r="W172">
        <v>70.040000000000006</v>
      </c>
      <c r="X172">
        <v>2.0070000000000001</v>
      </c>
    </row>
    <row r="173" spans="1:24" x14ac:dyDescent="0.25">
      <c r="A173" s="11"/>
      <c r="B173" s="12"/>
      <c r="C173" s="18">
        <v>46084</v>
      </c>
      <c r="D173" s="9">
        <v>614.25</v>
      </c>
      <c r="E173" s="9">
        <v>627.25</v>
      </c>
      <c r="F173" s="9">
        <v>6.5824999999999996</v>
      </c>
      <c r="G173" s="9">
        <v>471.25</v>
      </c>
      <c r="H173" s="9">
        <v>1141.75</v>
      </c>
      <c r="I173" s="9">
        <v>314.89999999999998</v>
      </c>
      <c r="J173" s="9">
        <v>60.46</v>
      </c>
      <c r="K173" s="9">
        <v>4179</v>
      </c>
      <c r="L173" s="9">
        <v>8958</v>
      </c>
      <c r="M173" s="9">
        <v>3019</v>
      </c>
      <c r="N173" s="9">
        <v>8290</v>
      </c>
      <c r="O173" s="9">
        <v>2329</v>
      </c>
      <c r="P173" s="9">
        <v>9347</v>
      </c>
      <c r="Q173" s="9">
        <v>482.5</v>
      </c>
      <c r="R173" s="9">
        <v>713.9</v>
      </c>
      <c r="S173" s="9">
        <v>1.74</v>
      </c>
      <c r="T173" s="9">
        <v>2.5125000000000002</v>
      </c>
      <c r="U173" s="10">
        <v>725</v>
      </c>
      <c r="V173">
        <v>65.290000000000006</v>
      </c>
      <c r="W173">
        <v>69.77</v>
      </c>
      <c r="X173">
        <v>1.9957</v>
      </c>
    </row>
    <row r="174" spans="1:24" x14ac:dyDescent="0.25">
      <c r="A174" s="8"/>
      <c r="B174" s="9"/>
      <c r="C174" s="18">
        <v>46083</v>
      </c>
      <c r="D174" s="9">
        <v>615.25</v>
      </c>
      <c r="E174" s="9">
        <v>623.5</v>
      </c>
      <c r="F174" s="9">
        <v>6.5449999999999999</v>
      </c>
      <c r="G174" s="9">
        <v>470</v>
      </c>
      <c r="H174" s="9">
        <v>1139.25</v>
      </c>
      <c r="I174" s="9">
        <v>315.2</v>
      </c>
      <c r="J174" s="9">
        <v>60.52</v>
      </c>
      <c r="K174" s="9">
        <v>4147</v>
      </c>
      <c r="L174" s="9">
        <v>8864</v>
      </c>
      <c r="M174" s="9">
        <v>3003</v>
      </c>
      <c r="N174" s="9">
        <v>8196</v>
      </c>
      <c r="O174" s="9">
        <v>2307</v>
      </c>
      <c r="P174" s="9">
        <v>9227</v>
      </c>
      <c r="Q174" s="9">
        <v>478.75</v>
      </c>
      <c r="R174" s="9">
        <v>708.5</v>
      </c>
      <c r="S174" s="9">
        <v>1.7375</v>
      </c>
      <c r="T174" s="9">
        <v>2.4706000000000001</v>
      </c>
      <c r="U174" s="10">
        <v>709</v>
      </c>
      <c r="V174">
        <v>64.78</v>
      </c>
      <c r="W174">
        <v>69.42</v>
      </c>
      <c r="X174">
        <v>1.9821</v>
      </c>
    </row>
    <row r="175" spans="1:24" x14ac:dyDescent="0.25">
      <c r="A175" s="11"/>
      <c r="B175" s="12"/>
      <c r="C175" s="18">
        <v>46080</v>
      </c>
      <c r="D175" s="9">
        <v>626.75</v>
      </c>
      <c r="E175" s="9">
        <v>629</v>
      </c>
      <c r="F175" s="9">
        <v>6.5824999999999996</v>
      </c>
      <c r="G175" s="9">
        <v>469.5</v>
      </c>
      <c r="H175" s="9">
        <v>1138.75</v>
      </c>
      <c r="I175" s="9">
        <v>317.89999999999998</v>
      </c>
      <c r="J175" s="9">
        <v>59.73</v>
      </c>
      <c r="K175" s="9">
        <v>4038</v>
      </c>
      <c r="L175" s="9">
        <v>8764</v>
      </c>
      <c r="M175" s="9">
        <v>3003</v>
      </c>
      <c r="N175" s="9">
        <v>8170</v>
      </c>
      <c r="O175" s="9">
        <v>2293</v>
      </c>
      <c r="P175" s="9">
        <v>9144</v>
      </c>
      <c r="Q175" s="9">
        <v>474</v>
      </c>
      <c r="R175" s="9">
        <v>698.9</v>
      </c>
      <c r="S175" s="9">
        <v>1.7350000000000001</v>
      </c>
      <c r="T175" s="9">
        <v>2.4039000000000001</v>
      </c>
      <c r="U175" s="10">
        <v>674.25</v>
      </c>
      <c r="V175">
        <v>63.73</v>
      </c>
      <c r="W175">
        <v>68.239999999999995</v>
      </c>
      <c r="X175">
        <v>1.9426000000000001</v>
      </c>
    </row>
    <row r="176" spans="1:24" x14ac:dyDescent="0.25">
      <c r="A176" s="8"/>
      <c r="B176" s="9"/>
      <c r="C176" s="18">
        <v>46079</v>
      </c>
      <c r="D176" s="9">
        <v>610.75</v>
      </c>
      <c r="E176" s="9">
        <v>612.5</v>
      </c>
      <c r="F176" s="9">
        <v>6.48</v>
      </c>
      <c r="G176" s="9">
        <v>467</v>
      </c>
      <c r="H176" s="9">
        <v>1138.25</v>
      </c>
      <c r="I176" s="9">
        <v>318.7</v>
      </c>
      <c r="J176" s="9">
        <v>59.56</v>
      </c>
      <c r="K176" s="9">
        <v>4001</v>
      </c>
      <c r="L176" s="9">
        <v>8778</v>
      </c>
      <c r="M176" s="9">
        <v>3001</v>
      </c>
      <c r="N176" s="9">
        <v>8136</v>
      </c>
      <c r="O176" s="9">
        <v>2298</v>
      </c>
      <c r="P176" s="9">
        <v>9136</v>
      </c>
      <c r="Q176" s="9">
        <v>473.75</v>
      </c>
      <c r="R176" s="9">
        <v>705.1</v>
      </c>
      <c r="S176" s="9">
        <v>1.7375</v>
      </c>
      <c r="T176" s="9">
        <v>2.3681999999999999</v>
      </c>
      <c r="U176" s="10">
        <v>673</v>
      </c>
      <c r="V176">
        <v>62.58</v>
      </c>
      <c r="W176">
        <v>67.010000000000005</v>
      </c>
      <c r="X176">
        <v>1.9171</v>
      </c>
    </row>
    <row r="177" spans="1:24" x14ac:dyDescent="0.25">
      <c r="A177" s="11"/>
      <c r="B177" s="12"/>
      <c r="C177" s="18">
        <v>46078</v>
      </c>
      <c r="D177" s="9">
        <v>606.5</v>
      </c>
      <c r="E177" s="9">
        <v>613.25</v>
      </c>
      <c r="F177" s="9">
        <v>6.4474999999999998</v>
      </c>
      <c r="G177" s="9">
        <v>467</v>
      </c>
      <c r="H177" s="9">
        <v>1138.5</v>
      </c>
      <c r="I177" s="9">
        <v>320.60000000000002</v>
      </c>
      <c r="J177" s="9">
        <v>58.86</v>
      </c>
      <c r="K177" s="9">
        <v>4038</v>
      </c>
      <c r="L177" s="9">
        <v>8830</v>
      </c>
      <c r="M177" s="9">
        <v>2989</v>
      </c>
      <c r="N177" s="9">
        <v>8112</v>
      </c>
      <c r="O177" s="9">
        <v>2288</v>
      </c>
      <c r="P177" s="9">
        <v>9140</v>
      </c>
      <c r="Q177" s="9">
        <v>470.75</v>
      </c>
      <c r="R177" s="9">
        <v>703.5</v>
      </c>
      <c r="S177" s="9">
        <v>1.74</v>
      </c>
      <c r="T177" s="9">
        <v>2.3645999999999998</v>
      </c>
      <c r="U177" s="10">
        <v>661</v>
      </c>
      <c r="V177">
        <v>63.05</v>
      </c>
      <c r="W177">
        <v>67.23</v>
      </c>
      <c r="X177">
        <v>1.9154</v>
      </c>
    </row>
    <row r="178" spans="1:24" x14ac:dyDescent="0.25">
      <c r="A178" s="8"/>
      <c r="B178" s="9"/>
      <c r="C178" s="18">
        <v>46077</v>
      </c>
      <c r="D178" s="9">
        <v>611.5</v>
      </c>
      <c r="E178" s="9">
        <v>617</v>
      </c>
      <c r="F178" s="9">
        <v>6.4325000000000001</v>
      </c>
      <c r="G178" s="9">
        <v>463.75</v>
      </c>
      <c r="H178" s="9">
        <v>1131.75</v>
      </c>
      <c r="I178" s="9">
        <v>316.2</v>
      </c>
      <c r="J178" s="9">
        <v>58.97</v>
      </c>
      <c r="K178" s="9">
        <v>4048</v>
      </c>
      <c r="L178" s="9">
        <v>8828</v>
      </c>
      <c r="M178" s="9">
        <v>2961</v>
      </c>
      <c r="N178" s="9">
        <v>8056</v>
      </c>
      <c r="O178" s="9">
        <v>2268</v>
      </c>
      <c r="P178" s="9">
        <v>9103</v>
      </c>
      <c r="Q178" s="9">
        <v>475</v>
      </c>
      <c r="R178" s="9">
        <v>702.2</v>
      </c>
      <c r="S178" s="9">
        <v>1.7275</v>
      </c>
      <c r="T178" s="9">
        <v>2.3572000000000002</v>
      </c>
      <c r="U178" s="10">
        <v>663</v>
      </c>
      <c r="V178">
        <v>63.13</v>
      </c>
      <c r="W178">
        <v>67.150000000000006</v>
      </c>
      <c r="X178">
        <v>1.9072</v>
      </c>
    </row>
    <row r="179" spans="1:24" x14ac:dyDescent="0.25">
      <c r="A179" s="11"/>
      <c r="B179" s="12"/>
      <c r="C179" s="18">
        <v>46076</v>
      </c>
      <c r="D179" s="9">
        <v>610.75</v>
      </c>
      <c r="E179" s="9">
        <v>620</v>
      </c>
      <c r="F179" s="9">
        <v>6.4474999999999998</v>
      </c>
      <c r="G179" s="9">
        <v>464.5</v>
      </c>
      <c r="H179" s="9">
        <v>1127.5</v>
      </c>
      <c r="I179" s="9">
        <v>314.89999999999998</v>
      </c>
      <c r="J179" s="9">
        <v>58.47</v>
      </c>
      <c r="K179" s="9">
        <v>4075</v>
      </c>
      <c r="L179" s="9"/>
      <c r="M179" s="9"/>
      <c r="N179" s="9"/>
      <c r="O179" s="9"/>
      <c r="P179" s="9"/>
      <c r="Q179" s="9">
        <v>473.75</v>
      </c>
      <c r="R179" s="9">
        <v>699</v>
      </c>
      <c r="S179" s="9">
        <v>1.7275</v>
      </c>
      <c r="T179" s="9">
        <v>2.3553000000000002</v>
      </c>
      <c r="U179" s="10">
        <v>670</v>
      </c>
      <c r="V179">
        <v>63.23</v>
      </c>
      <c r="W179">
        <v>67.180000000000007</v>
      </c>
      <c r="X179">
        <v>1.9094</v>
      </c>
    </row>
    <row r="180" spans="1:24" x14ac:dyDescent="0.25">
      <c r="A180" s="8"/>
      <c r="B180" s="9"/>
      <c r="C180" s="18">
        <v>46073</v>
      </c>
      <c r="D180" s="9">
        <v>615</v>
      </c>
      <c r="E180" s="9">
        <v>630</v>
      </c>
      <c r="F180" s="9">
        <v>6.48</v>
      </c>
      <c r="G180" s="9">
        <v>464.5</v>
      </c>
      <c r="H180" s="9">
        <v>1125.5</v>
      </c>
      <c r="I180" s="9">
        <v>316.10000000000002</v>
      </c>
      <c r="J180" s="9">
        <v>57.84</v>
      </c>
      <c r="K180" s="9">
        <v>4108</v>
      </c>
      <c r="L180" s="9"/>
      <c r="M180" s="9"/>
      <c r="N180" s="9"/>
      <c r="O180" s="9"/>
      <c r="P180" s="9"/>
      <c r="Q180" s="9">
        <v>471.5</v>
      </c>
      <c r="R180" s="9">
        <v>693.9</v>
      </c>
      <c r="S180" s="9">
        <v>1.7124999999999999</v>
      </c>
      <c r="T180" s="9">
        <v>2.3378000000000001</v>
      </c>
      <c r="U180" s="10">
        <v>663</v>
      </c>
      <c r="V180">
        <v>63.08</v>
      </c>
      <c r="W180">
        <v>67.06</v>
      </c>
      <c r="X180">
        <v>1.9067000000000001</v>
      </c>
    </row>
    <row r="181" spans="1:24" x14ac:dyDescent="0.25">
      <c r="A181" s="11"/>
      <c r="B181" s="12"/>
      <c r="C181" s="18">
        <v>46072</v>
      </c>
      <c r="D181" s="9">
        <v>603</v>
      </c>
      <c r="E181" s="9">
        <v>622.5</v>
      </c>
      <c r="F181" s="9">
        <v>6.4249999999999998</v>
      </c>
      <c r="G181" s="9">
        <v>461.5</v>
      </c>
      <c r="H181" s="9">
        <v>1128.5</v>
      </c>
      <c r="I181" s="9">
        <v>313.2</v>
      </c>
      <c r="J181" s="9">
        <v>58.49</v>
      </c>
      <c r="K181" s="9">
        <v>4096</v>
      </c>
      <c r="L181" s="9"/>
      <c r="M181" s="9"/>
      <c r="N181" s="9"/>
      <c r="O181" s="9"/>
      <c r="P181" s="9"/>
      <c r="Q181" s="9">
        <v>475.75</v>
      </c>
      <c r="R181" s="9">
        <v>694.5</v>
      </c>
      <c r="S181" s="9">
        <v>1.7150000000000001</v>
      </c>
      <c r="T181" s="9">
        <v>2.3420999999999998</v>
      </c>
      <c r="U181" s="10">
        <v>659.5</v>
      </c>
      <c r="V181">
        <v>63.01</v>
      </c>
      <c r="W181">
        <v>67.03</v>
      </c>
      <c r="X181">
        <v>1.9001999999999999</v>
      </c>
    </row>
    <row r="182" spans="1:24" x14ac:dyDescent="0.25">
      <c r="A182" s="8"/>
      <c r="B182" s="9"/>
      <c r="C182" s="18">
        <v>46071</v>
      </c>
      <c r="D182" s="9">
        <v>589</v>
      </c>
      <c r="E182" s="9">
        <v>609</v>
      </c>
      <c r="F182" s="9">
        <v>6.3425000000000002</v>
      </c>
      <c r="G182" s="9">
        <v>461</v>
      </c>
      <c r="H182" s="9">
        <v>1126.5</v>
      </c>
      <c r="I182" s="9">
        <v>314.2</v>
      </c>
      <c r="J182" s="9">
        <v>57.7</v>
      </c>
      <c r="K182" s="9"/>
      <c r="L182" s="9"/>
      <c r="M182" s="9"/>
      <c r="N182" s="9"/>
      <c r="O182" s="9"/>
      <c r="P182" s="9"/>
      <c r="Q182" s="9">
        <v>470.5</v>
      </c>
      <c r="R182" s="9">
        <v>693.5</v>
      </c>
      <c r="S182" s="9">
        <v>1.6875</v>
      </c>
      <c r="T182" s="9">
        <v>2.3043999999999998</v>
      </c>
      <c r="U182" s="10">
        <v>646</v>
      </c>
      <c r="V182">
        <v>62.22</v>
      </c>
      <c r="W182">
        <v>66.19</v>
      </c>
      <c r="X182">
        <v>1.8721000000000001</v>
      </c>
    </row>
    <row r="183" spans="1:24" x14ac:dyDescent="0.25">
      <c r="A183" s="11"/>
      <c r="B183" s="12"/>
      <c r="C183" s="18">
        <v>46070</v>
      </c>
      <c r="D183" s="9">
        <v>581.5</v>
      </c>
      <c r="E183" s="9">
        <v>600</v>
      </c>
      <c r="F183" s="9">
        <v>6.29</v>
      </c>
      <c r="G183" s="9">
        <v>460</v>
      </c>
      <c r="H183" s="9">
        <v>1127.25</v>
      </c>
      <c r="I183" s="9">
        <v>318.2</v>
      </c>
      <c r="J183" s="9">
        <v>56.51</v>
      </c>
      <c r="K183" s="9"/>
      <c r="L183" s="9"/>
      <c r="M183" s="9"/>
      <c r="N183" s="9"/>
      <c r="O183" s="9"/>
      <c r="P183" s="9"/>
      <c r="Q183" s="9">
        <v>468.5</v>
      </c>
      <c r="R183" s="9">
        <v>686.5</v>
      </c>
      <c r="S183" s="9">
        <v>1.6775</v>
      </c>
      <c r="T183" s="9">
        <v>2.2315</v>
      </c>
      <c r="U183" s="10">
        <v>629.25</v>
      </c>
      <c r="V183">
        <v>60.47</v>
      </c>
      <c r="W183">
        <v>64.37</v>
      </c>
      <c r="X183">
        <v>1.8201000000000001</v>
      </c>
    </row>
    <row r="184" spans="1:24" x14ac:dyDescent="0.25">
      <c r="A184" s="8"/>
      <c r="B184" s="9"/>
      <c r="C184" s="18">
        <v>46069</v>
      </c>
      <c r="D184" s="9"/>
      <c r="E184" s="9"/>
      <c r="F184" s="9"/>
      <c r="G184" s="9"/>
      <c r="H184" s="9"/>
      <c r="I184" s="9"/>
      <c r="J184" s="9"/>
      <c r="K184" s="9">
        <v>3993</v>
      </c>
      <c r="L184" s="9"/>
      <c r="M184" s="9"/>
      <c r="N184" s="9"/>
      <c r="O184" s="9"/>
      <c r="P184" s="9"/>
      <c r="Q184" s="9">
        <v>470.25</v>
      </c>
      <c r="R184" s="9"/>
      <c r="S184" s="9"/>
      <c r="T184" s="9"/>
      <c r="U184" s="10">
        <v>635.75</v>
      </c>
      <c r="W184">
        <v>65.2</v>
      </c>
    </row>
    <row r="185" spans="1:24" x14ac:dyDescent="0.25">
      <c r="A185" s="11"/>
      <c r="B185" s="12"/>
      <c r="C185" s="18">
        <v>46066</v>
      </c>
      <c r="D185" s="9">
        <v>586.25</v>
      </c>
      <c r="E185" s="9">
        <v>603</v>
      </c>
      <c r="F185" s="9">
        <v>6.3324999999999996</v>
      </c>
      <c r="G185" s="9">
        <v>464.5</v>
      </c>
      <c r="H185" s="9">
        <v>1123.25</v>
      </c>
      <c r="I185" s="9">
        <v>318</v>
      </c>
      <c r="J185" s="9">
        <v>56.08</v>
      </c>
      <c r="K185" s="9">
        <v>4014</v>
      </c>
      <c r="L185" s="9">
        <v>8700</v>
      </c>
      <c r="M185" s="9">
        <v>2963</v>
      </c>
      <c r="N185" s="9">
        <v>7994</v>
      </c>
      <c r="O185" s="9">
        <v>2266</v>
      </c>
      <c r="P185" s="9">
        <v>8981</v>
      </c>
      <c r="Q185" s="9">
        <v>466.25</v>
      </c>
      <c r="R185" s="9">
        <v>686.3</v>
      </c>
      <c r="S185" s="9">
        <v>1.6975</v>
      </c>
      <c r="T185" s="9">
        <v>2.2262</v>
      </c>
      <c r="U185" s="10">
        <v>630.75</v>
      </c>
      <c r="V185">
        <v>60.71</v>
      </c>
      <c r="W185">
        <v>64.510000000000005</v>
      </c>
      <c r="X185">
        <v>1.8229</v>
      </c>
    </row>
    <row r="186" spans="1:24" x14ac:dyDescent="0.25">
      <c r="A186" s="8"/>
      <c r="B186" s="9"/>
      <c r="C186" s="18">
        <v>46065</v>
      </c>
      <c r="D186" s="9">
        <v>595.75</v>
      </c>
      <c r="E186" s="9">
        <v>613.75</v>
      </c>
      <c r="F186" s="9">
        <v>6.39</v>
      </c>
      <c r="G186" s="9">
        <v>464</v>
      </c>
      <c r="H186" s="9">
        <v>1125.75</v>
      </c>
      <c r="I186" s="9">
        <v>316.5</v>
      </c>
      <c r="J186" s="9">
        <v>56.47</v>
      </c>
      <c r="K186" s="9">
        <v>4012</v>
      </c>
      <c r="L186" s="9">
        <v>8788</v>
      </c>
      <c r="M186" s="9">
        <v>2955</v>
      </c>
      <c r="N186" s="9">
        <v>8038</v>
      </c>
      <c r="O186" s="9">
        <v>2258</v>
      </c>
      <c r="P186" s="9">
        <v>9036</v>
      </c>
      <c r="Q186" s="9">
        <v>469.75</v>
      </c>
      <c r="R186" s="9">
        <v>687.2</v>
      </c>
      <c r="S186" s="9">
        <v>1.72</v>
      </c>
      <c r="T186" s="9">
        <v>2.2336999999999998</v>
      </c>
      <c r="U186" s="10">
        <v>634.25</v>
      </c>
      <c r="V186">
        <v>60.75</v>
      </c>
      <c r="W186">
        <v>64.52</v>
      </c>
      <c r="X186">
        <v>1.8234999999999999</v>
      </c>
    </row>
    <row r="187" spans="1:24" x14ac:dyDescent="0.25">
      <c r="A187" s="11"/>
      <c r="B187" s="12"/>
      <c r="C187" s="18">
        <v>46064</v>
      </c>
      <c r="D187" s="9">
        <v>584.5</v>
      </c>
      <c r="E187" s="9">
        <v>599.5</v>
      </c>
      <c r="F187" s="9">
        <v>6.3125</v>
      </c>
      <c r="G187" s="9">
        <v>459.75</v>
      </c>
      <c r="H187" s="9">
        <v>1120.5</v>
      </c>
      <c r="I187" s="9">
        <v>314.8</v>
      </c>
      <c r="J187" s="9">
        <v>56.26</v>
      </c>
      <c r="K187" s="9">
        <v>4036</v>
      </c>
      <c r="L187" s="9">
        <v>8836</v>
      </c>
      <c r="M187" s="9">
        <v>2943</v>
      </c>
      <c r="N187" s="9">
        <v>8048</v>
      </c>
      <c r="O187" s="9">
        <v>2245</v>
      </c>
      <c r="P187" s="9">
        <v>9034</v>
      </c>
      <c r="Q187" s="9">
        <v>468.5</v>
      </c>
      <c r="R187" s="9">
        <v>682.3</v>
      </c>
      <c r="S187" s="9">
        <v>1.7124999999999999</v>
      </c>
      <c r="T187" s="9">
        <v>2.2816999999999998</v>
      </c>
      <c r="U187" s="10">
        <v>648.25</v>
      </c>
      <c r="V187">
        <v>62.27</v>
      </c>
      <c r="W187">
        <v>66.010000000000005</v>
      </c>
      <c r="X187">
        <v>1.8675999999999999</v>
      </c>
    </row>
    <row r="188" spans="1:24" x14ac:dyDescent="0.25">
      <c r="A188" s="8"/>
      <c r="B188" s="9"/>
      <c r="C188" s="18">
        <v>46063</v>
      </c>
      <c r="D188" s="9">
        <v>579.5</v>
      </c>
      <c r="E188" s="9">
        <v>593.5</v>
      </c>
      <c r="F188" s="9">
        <v>6.2750000000000004</v>
      </c>
      <c r="G188" s="9">
        <v>458.25</v>
      </c>
      <c r="H188" s="9">
        <v>1116.25</v>
      </c>
      <c r="I188" s="9">
        <v>313.60000000000002</v>
      </c>
      <c r="J188" s="9">
        <v>56.42</v>
      </c>
      <c r="K188" s="9">
        <v>4040</v>
      </c>
      <c r="L188" s="9">
        <v>8878</v>
      </c>
      <c r="M188" s="9">
        <v>2929</v>
      </c>
      <c r="N188" s="9">
        <v>8056</v>
      </c>
      <c r="O188" s="9">
        <v>2229</v>
      </c>
      <c r="P188" s="9">
        <v>9054</v>
      </c>
      <c r="Q188" s="9">
        <v>469.25</v>
      </c>
      <c r="R188" s="9">
        <v>682.6</v>
      </c>
      <c r="S188" s="9">
        <v>1.6924999999999999</v>
      </c>
      <c r="T188" s="9">
        <v>2.2643</v>
      </c>
      <c r="U188" s="10">
        <v>639.75</v>
      </c>
      <c r="V188">
        <v>61.89</v>
      </c>
      <c r="W188">
        <v>65.64</v>
      </c>
      <c r="X188">
        <v>1.8555999999999999</v>
      </c>
    </row>
    <row r="189" spans="1:24" x14ac:dyDescent="0.25">
      <c r="A189" s="11"/>
      <c r="B189" s="12"/>
      <c r="C189" s="18">
        <v>46062</v>
      </c>
      <c r="D189" s="9">
        <v>580</v>
      </c>
      <c r="E189" s="9">
        <v>591.75</v>
      </c>
      <c r="F189" s="9">
        <v>6.2925000000000004</v>
      </c>
      <c r="G189" s="9">
        <v>457.25</v>
      </c>
      <c r="H189" s="9">
        <v>1105.5</v>
      </c>
      <c r="I189" s="9">
        <v>311.3</v>
      </c>
      <c r="J189" s="9">
        <v>55.87</v>
      </c>
      <c r="K189" s="9">
        <v>4105</v>
      </c>
      <c r="L189" s="9">
        <v>8892</v>
      </c>
      <c r="M189" s="9">
        <v>2937</v>
      </c>
      <c r="N189" s="9">
        <v>8078</v>
      </c>
      <c r="O189" s="9">
        <v>2237</v>
      </c>
      <c r="P189" s="9">
        <v>9067</v>
      </c>
      <c r="Q189" s="9">
        <v>471.25</v>
      </c>
      <c r="R189" s="9">
        <v>681.1</v>
      </c>
      <c r="S189" s="9">
        <v>1.6875</v>
      </c>
      <c r="T189" s="9">
        <v>2.2698999999999998</v>
      </c>
      <c r="U189" s="10">
        <v>642</v>
      </c>
      <c r="V189">
        <v>62.11</v>
      </c>
      <c r="W189">
        <v>65.87</v>
      </c>
      <c r="X189">
        <v>1.8609</v>
      </c>
    </row>
    <row r="190" spans="1:24" x14ac:dyDescent="0.25">
      <c r="A190" s="8"/>
      <c r="B190" s="9"/>
      <c r="C190" s="18">
        <v>46059</v>
      </c>
      <c r="D190" s="9">
        <v>580</v>
      </c>
      <c r="E190" s="9">
        <v>593.5</v>
      </c>
      <c r="F190" s="9">
        <v>6.3174999999999999</v>
      </c>
      <c r="G190" s="9">
        <v>457.75</v>
      </c>
      <c r="H190" s="9">
        <v>1103.5</v>
      </c>
      <c r="I190" s="9">
        <v>313.10000000000002</v>
      </c>
      <c r="J190" s="9">
        <v>54.74</v>
      </c>
      <c r="K190" s="9">
        <v>4102</v>
      </c>
      <c r="L190" s="9">
        <v>8926</v>
      </c>
      <c r="M190" s="9">
        <v>2930</v>
      </c>
      <c r="N190" s="9">
        <v>8028</v>
      </c>
      <c r="O190" s="9">
        <v>2235</v>
      </c>
      <c r="P190" s="9">
        <v>9062</v>
      </c>
      <c r="Q190" s="9">
        <v>471.75</v>
      </c>
      <c r="R190" s="9">
        <v>676</v>
      </c>
      <c r="S190" s="9">
        <v>1.6775</v>
      </c>
      <c r="T190" s="9">
        <v>2.2439</v>
      </c>
      <c r="U190" s="10">
        <v>639.25</v>
      </c>
      <c r="V190">
        <v>61.31</v>
      </c>
      <c r="W190">
        <v>65.09</v>
      </c>
      <c r="X190">
        <v>1.837</v>
      </c>
    </row>
    <row r="191" spans="1:24" x14ac:dyDescent="0.25">
      <c r="A191" s="11"/>
      <c r="B191" s="12"/>
      <c r="C191" s="18">
        <v>46058</v>
      </c>
      <c r="D191" s="9">
        <v>585.75</v>
      </c>
      <c r="E191" s="9">
        <v>599.5</v>
      </c>
      <c r="F191" s="9">
        <v>6.33</v>
      </c>
      <c r="G191" s="9">
        <v>461</v>
      </c>
      <c r="H191" s="9">
        <v>1108.25</v>
      </c>
      <c r="I191" s="9">
        <v>314.2</v>
      </c>
      <c r="J191" s="9">
        <v>55.15</v>
      </c>
      <c r="K191" s="9">
        <v>4149</v>
      </c>
      <c r="L191" s="9">
        <v>9010</v>
      </c>
      <c r="M191" s="9">
        <v>2915</v>
      </c>
      <c r="N191" s="9">
        <v>8062</v>
      </c>
      <c r="O191" s="9">
        <v>2228</v>
      </c>
      <c r="P191" s="9">
        <v>9042</v>
      </c>
      <c r="Q191" s="9">
        <v>471.25</v>
      </c>
      <c r="R191" s="9">
        <v>679.7</v>
      </c>
      <c r="S191" s="9">
        <v>1.66</v>
      </c>
      <c r="T191" s="9">
        <v>2.2347999999999999</v>
      </c>
      <c r="U191" s="10">
        <v>632.75</v>
      </c>
      <c r="V191">
        <v>60.82</v>
      </c>
      <c r="W191">
        <v>64.58</v>
      </c>
      <c r="X191">
        <v>1.8192999999999999</v>
      </c>
    </row>
    <row r="192" spans="1:24" x14ac:dyDescent="0.25">
      <c r="A192" s="8"/>
      <c r="B192" s="9"/>
      <c r="C192" s="18">
        <v>46057</v>
      </c>
      <c r="D192" s="9">
        <v>579</v>
      </c>
      <c r="E192" s="9">
        <v>593</v>
      </c>
      <c r="F192" s="9">
        <v>6.2850000000000001</v>
      </c>
      <c r="G192" s="9">
        <v>457.25</v>
      </c>
      <c r="H192" s="9">
        <v>1098.5</v>
      </c>
      <c r="I192" s="9">
        <v>308.8</v>
      </c>
      <c r="J192" s="9">
        <v>55.17</v>
      </c>
      <c r="K192" s="9">
        <v>4147</v>
      </c>
      <c r="L192" s="9">
        <v>9024</v>
      </c>
      <c r="M192" s="9">
        <v>2893</v>
      </c>
      <c r="N192" s="9">
        <v>8046</v>
      </c>
      <c r="O192" s="9">
        <v>2229</v>
      </c>
      <c r="P192" s="9">
        <v>9114</v>
      </c>
      <c r="Q192" s="9">
        <v>467.75</v>
      </c>
      <c r="R192" s="9">
        <v>676.5</v>
      </c>
      <c r="S192" s="9">
        <v>1.655</v>
      </c>
      <c r="T192" s="9">
        <v>2.2684000000000002</v>
      </c>
      <c r="U192" s="10">
        <v>633</v>
      </c>
      <c r="V192">
        <v>61.98</v>
      </c>
      <c r="W192">
        <v>65.8</v>
      </c>
      <c r="X192">
        <v>1.8494999999999999</v>
      </c>
    </row>
    <row r="193" spans="1:24" x14ac:dyDescent="0.25">
      <c r="A193" s="11"/>
      <c r="B193" s="12"/>
      <c r="C193" s="18">
        <v>46056</v>
      </c>
      <c r="D193" s="9">
        <v>580.25</v>
      </c>
      <c r="E193" s="9">
        <v>596</v>
      </c>
      <c r="F193" s="9">
        <v>6.3</v>
      </c>
      <c r="G193" s="9">
        <v>456.75</v>
      </c>
      <c r="H193" s="9">
        <v>1090.75</v>
      </c>
      <c r="I193" s="9">
        <v>308.3</v>
      </c>
      <c r="J193" s="9">
        <v>54.33</v>
      </c>
      <c r="K193" s="9">
        <v>4119</v>
      </c>
      <c r="L193" s="9">
        <v>8952</v>
      </c>
      <c r="M193" s="9">
        <v>2896</v>
      </c>
      <c r="N193" s="9">
        <v>8006</v>
      </c>
      <c r="O193" s="9">
        <v>2234</v>
      </c>
      <c r="P193" s="9">
        <v>9023</v>
      </c>
      <c r="Q193" s="9">
        <v>464.5</v>
      </c>
      <c r="R193" s="9">
        <v>669.4</v>
      </c>
      <c r="S193" s="9">
        <v>1.665</v>
      </c>
      <c r="T193" s="9">
        <v>2.2235</v>
      </c>
      <c r="U193" s="10">
        <v>629.25</v>
      </c>
      <c r="V193">
        <v>60.54</v>
      </c>
      <c r="W193">
        <v>64.23</v>
      </c>
      <c r="X193">
        <v>1.8069</v>
      </c>
    </row>
    <row r="194" spans="1:24" x14ac:dyDescent="0.25">
      <c r="A194" s="8"/>
      <c r="B194" s="9"/>
      <c r="C194" s="18">
        <v>46055</v>
      </c>
      <c r="D194" s="9">
        <v>578.75</v>
      </c>
      <c r="E194" s="9">
        <v>594.5</v>
      </c>
      <c r="F194" s="9">
        <v>6.32</v>
      </c>
      <c r="G194" s="9">
        <v>454.75</v>
      </c>
      <c r="H194" s="9">
        <v>1086.75</v>
      </c>
      <c r="I194" s="9">
        <v>310.39999999999998</v>
      </c>
      <c r="J194" s="9">
        <v>53.19</v>
      </c>
      <c r="K194" s="9"/>
      <c r="L194" s="9">
        <v>8976</v>
      </c>
      <c r="M194" s="9">
        <v>2903</v>
      </c>
      <c r="N194" s="9">
        <v>8056</v>
      </c>
      <c r="O194" s="9">
        <v>2235</v>
      </c>
      <c r="P194" s="9">
        <v>9044</v>
      </c>
      <c r="Q194" s="9">
        <v>461.25</v>
      </c>
      <c r="R194" s="9">
        <v>664.6</v>
      </c>
      <c r="S194" s="9">
        <v>1.65</v>
      </c>
      <c r="T194" s="9">
        <v>2.1829999999999998</v>
      </c>
      <c r="U194" s="10">
        <v>621.5</v>
      </c>
      <c r="V194">
        <v>59.41</v>
      </c>
      <c r="W194">
        <v>63.12</v>
      </c>
      <c r="X194">
        <v>1.7749999999999999</v>
      </c>
    </row>
    <row r="195" spans="1:24" x14ac:dyDescent="0.25">
      <c r="A195" s="11"/>
      <c r="B195" s="12"/>
      <c r="C195" s="18">
        <v>46052</v>
      </c>
      <c r="D195" s="9">
        <v>585.75</v>
      </c>
      <c r="E195" s="9">
        <v>601.25</v>
      </c>
      <c r="F195" s="9">
        <v>6.375</v>
      </c>
      <c r="G195" s="9">
        <v>456</v>
      </c>
      <c r="H195" s="9">
        <v>1091.25</v>
      </c>
      <c r="I195" s="9">
        <v>309.7</v>
      </c>
      <c r="J195" s="9">
        <v>53.55</v>
      </c>
      <c r="K195" s="9">
        <v>4107</v>
      </c>
      <c r="L195" s="9">
        <v>9056</v>
      </c>
      <c r="M195" s="9">
        <v>2915</v>
      </c>
      <c r="N195" s="9">
        <v>8222</v>
      </c>
      <c r="O195" s="9">
        <v>2242</v>
      </c>
      <c r="P195" s="9">
        <v>9217</v>
      </c>
      <c r="Q195" s="9">
        <v>460.75</v>
      </c>
      <c r="R195" s="9">
        <v>665.1</v>
      </c>
      <c r="S195" s="9">
        <v>1.6525000000000001</v>
      </c>
      <c r="T195" s="9">
        <v>2.2614999999999998</v>
      </c>
      <c r="U195" s="10">
        <v>651.75</v>
      </c>
      <c r="V195">
        <v>62.01</v>
      </c>
      <c r="W195">
        <v>65.81</v>
      </c>
      <c r="X195">
        <v>1.8403</v>
      </c>
    </row>
    <row r="196" spans="1:24" x14ac:dyDescent="0.25">
      <c r="A196" s="8"/>
      <c r="B196" s="9"/>
      <c r="C196" s="18">
        <v>46051</v>
      </c>
      <c r="D196" s="9">
        <v>592</v>
      </c>
      <c r="E196" s="9">
        <v>605.25</v>
      </c>
      <c r="F196" s="9">
        <v>6.3949999999999996</v>
      </c>
      <c r="G196" s="9">
        <v>459</v>
      </c>
      <c r="H196" s="9">
        <v>1100.75</v>
      </c>
      <c r="I196" s="9">
        <v>312.8</v>
      </c>
      <c r="J196" s="9">
        <v>54.08</v>
      </c>
      <c r="K196" s="9">
        <v>4166</v>
      </c>
      <c r="L196" s="9">
        <v>9138</v>
      </c>
      <c r="M196" s="9">
        <v>2931</v>
      </c>
      <c r="N196" s="9">
        <v>8226</v>
      </c>
      <c r="O196" s="9">
        <v>2248</v>
      </c>
      <c r="P196" s="9">
        <v>9188</v>
      </c>
      <c r="Q196" s="9">
        <v>464</v>
      </c>
      <c r="R196" s="9">
        <v>664.8</v>
      </c>
      <c r="S196" s="9">
        <v>1.655</v>
      </c>
      <c r="T196" s="9">
        <v>2.2696000000000001</v>
      </c>
      <c r="U196" s="10">
        <v>644</v>
      </c>
      <c r="V196">
        <v>62.1</v>
      </c>
      <c r="W196">
        <v>65.88</v>
      </c>
      <c r="X196">
        <v>1.841</v>
      </c>
    </row>
    <row r="197" spans="1:24" x14ac:dyDescent="0.25">
      <c r="A197" s="11"/>
      <c r="B197" s="12"/>
      <c r="C197" s="18">
        <v>46050</v>
      </c>
      <c r="D197" s="9">
        <v>587.25</v>
      </c>
      <c r="E197" s="9">
        <v>600.25</v>
      </c>
      <c r="F197" s="9">
        <v>6.3250000000000002</v>
      </c>
      <c r="G197" s="9">
        <v>457.75</v>
      </c>
      <c r="H197" s="9">
        <v>1101</v>
      </c>
      <c r="I197" s="9">
        <v>313.7</v>
      </c>
      <c r="J197" s="9">
        <v>54.29</v>
      </c>
      <c r="K197" s="9">
        <v>4138</v>
      </c>
      <c r="L197" s="9">
        <v>9056</v>
      </c>
      <c r="M197" s="9">
        <v>2915</v>
      </c>
      <c r="N197" s="9">
        <v>8190</v>
      </c>
      <c r="O197" s="9">
        <v>2228</v>
      </c>
      <c r="P197" s="9">
        <v>9187</v>
      </c>
      <c r="Q197" s="9">
        <v>466</v>
      </c>
      <c r="R197" s="9">
        <v>666.8</v>
      </c>
      <c r="S197" s="9">
        <v>1.6625000000000001</v>
      </c>
      <c r="T197" s="9">
        <v>2.2294</v>
      </c>
      <c r="U197" s="10">
        <v>630.75</v>
      </c>
      <c r="V197">
        <v>60.85</v>
      </c>
      <c r="W197">
        <v>64.58</v>
      </c>
      <c r="X197">
        <v>1.8109</v>
      </c>
    </row>
    <row r="198" spans="1:24" x14ac:dyDescent="0.25">
      <c r="A198" s="8"/>
      <c r="B198" s="9"/>
      <c r="C198" s="18">
        <v>46049</v>
      </c>
      <c r="D198" s="9">
        <v>577</v>
      </c>
      <c r="E198" s="9">
        <v>590.25</v>
      </c>
      <c r="F198" s="9">
        <v>6.3150000000000004</v>
      </c>
      <c r="G198" s="9">
        <v>454.25</v>
      </c>
      <c r="H198" s="9">
        <v>1093.25</v>
      </c>
      <c r="I198" s="9">
        <v>310</v>
      </c>
      <c r="J198" s="9">
        <v>54.41</v>
      </c>
      <c r="K198" s="9">
        <v>4147</v>
      </c>
      <c r="L198" s="9">
        <v>8980</v>
      </c>
      <c r="M198" s="9">
        <v>2910</v>
      </c>
      <c r="N198" s="9">
        <v>8092</v>
      </c>
      <c r="O198" s="9">
        <v>2223</v>
      </c>
      <c r="P198" s="9">
        <v>9152</v>
      </c>
      <c r="Q198" s="9">
        <v>464</v>
      </c>
      <c r="R198" s="9">
        <v>664</v>
      </c>
      <c r="S198" s="9">
        <v>1.6575</v>
      </c>
      <c r="T198" s="9">
        <v>2.2107000000000001</v>
      </c>
      <c r="U198" s="10">
        <v>624.75</v>
      </c>
      <c r="V198">
        <v>60.5</v>
      </c>
      <c r="W198">
        <v>64.2</v>
      </c>
      <c r="X198">
        <v>1.7939000000000001</v>
      </c>
    </row>
    <row r="199" spans="1:24" x14ac:dyDescent="0.25">
      <c r="A199" s="11"/>
      <c r="B199" s="12"/>
      <c r="C199" s="18">
        <v>46048</v>
      </c>
      <c r="D199" s="9">
        <v>579.25</v>
      </c>
      <c r="E199" s="9">
        <v>589.5</v>
      </c>
      <c r="F199" s="9">
        <v>6.2874999999999996</v>
      </c>
      <c r="G199" s="9">
        <v>455</v>
      </c>
      <c r="H199" s="9">
        <v>1090.25</v>
      </c>
      <c r="I199" s="9">
        <v>309.5</v>
      </c>
      <c r="J199" s="9">
        <v>53.98</v>
      </c>
      <c r="K199" s="9">
        <v>4121</v>
      </c>
      <c r="L199" s="9">
        <v>8904</v>
      </c>
      <c r="M199" s="9">
        <v>2913</v>
      </c>
      <c r="N199" s="9">
        <v>8056</v>
      </c>
      <c r="O199" s="9">
        <v>2226</v>
      </c>
      <c r="P199" s="9">
        <v>9074</v>
      </c>
      <c r="Q199" s="9">
        <v>464</v>
      </c>
      <c r="R199" s="9">
        <v>662.3</v>
      </c>
      <c r="S199" s="9">
        <v>1.6825000000000001</v>
      </c>
      <c r="T199" s="9">
        <v>2.1848000000000001</v>
      </c>
      <c r="U199" s="10">
        <v>619.25</v>
      </c>
      <c r="V199">
        <v>59.58</v>
      </c>
      <c r="W199">
        <v>63.28</v>
      </c>
      <c r="X199">
        <v>1.7638</v>
      </c>
    </row>
    <row r="200" spans="1:24" x14ac:dyDescent="0.25">
      <c r="A200" s="8"/>
      <c r="B200" s="9"/>
      <c r="C200" s="18">
        <v>46045</v>
      </c>
      <c r="D200" s="9">
        <v>584.25</v>
      </c>
      <c r="E200" s="9">
        <v>598.5</v>
      </c>
      <c r="F200" s="9">
        <v>6.3475000000000001</v>
      </c>
      <c r="G200" s="9">
        <v>455.25</v>
      </c>
      <c r="H200" s="9">
        <v>1093.25</v>
      </c>
      <c r="I200" s="9">
        <v>312.5</v>
      </c>
      <c r="J200" s="9">
        <v>53.95</v>
      </c>
      <c r="K200" s="9">
        <v>4121</v>
      </c>
      <c r="L200" s="9">
        <v>8818</v>
      </c>
      <c r="M200" s="9">
        <v>2905</v>
      </c>
      <c r="N200" s="9">
        <v>7976</v>
      </c>
      <c r="O200" s="9">
        <v>2217</v>
      </c>
      <c r="P200" s="9">
        <v>8942</v>
      </c>
      <c r="Q200" s="9">
        <v>467.25</v>
      </c>
      <c r="R200" s="9">
        <v>669.5</v>
      </c>
      <c r="S200" s="9">
        <v>1.655</v>
      </c>
      <c r="T200" s="9">
        <v>2.1892999999999998</v>
      </c>
      <c r="U200" s="10">
        <v>621.75</v>
      </c>
      <c r="V200">
        <v>59.62</v>
      </c>
      <c r="W200">
        <v>63.29</v>
      </c>
      <c r="X200">
        <v>1.7706</v>
      </c>
    </row>
    <row r="201" spans="1:24" x14ac:dyDescent="0.25">
      <c r="A201" s="11"/>
      <c r="B201" s="12"/>
      <c r="C201" s="18">
        <v>46044</v>
      </c>
      <c r="D201" s="9">
        <v>573.25</v>
      </c>
      <c r="E201" s="9">
        <v>584</v>
      </c>
      <c r="F201" s="9">
        <v>6.3174999999999999</v>
      </c>
      <c r="G201" s="9">
        <v>451.75</v>
      </c>
      <c r="H201" s="9">
        <v>1088.25</v>
      </c>
      <c r="I201" s="9">
        <v>310.39999999999998</v>
      </c>
      <c r="J201" s="9">
        <v>53.81</v>
      </c>
      <c r="K201" s="9">
        <v>4154</v>
      </c>
      <c r="L201" s="9">
        <v>8810</v>
      </c>
      <c r="M201" s="9">
        <v>2900</v>
      </c>
      <c r="N201" s="9">
        <v>7958</v>
      </c>
      <c r="O201" s="9">
        <v>2212</v>
      </c>
      <c r="P201" s="9">
        <v>8931</v>
      </c>
      <c r="Q201" s="9">
        <v>463.75</v>
      </c>
      <c r="R201" s="9">
        <v>661.5</v>
      </c>
      <c r="S201" s="9">
        <v>1.6425000000000001</v>
      </c>
      <c r="T201" s="9">
        <v>2.1642000000000001</v>
      </c>
      <c r="U201" s="10">
        <v>616.75</v>
      </c>
      <c r="V201">
        <v>58.57</v>
      </c>
      <c r="W201">
        <v>62.24</v>
      </c>
      <c r="X201">
        <v>1.7445999999999999</v>
      </c>
    </row>
    <row r="202" spans="1:24" x14ac:dyDescent="0.25">
      <c r="A202" s="8"/>
      <c r="B202" s="9"/>
      <c r="C202" s="18">
        <v>46043</v>
      </c>
      <c r="D202" s="9">
        <v>565.75</v>
      </c>
      <c r="E202" s="9">
        <v>578.75</v>
      </c>
      <c r="F202" s="9">
        <v>6.2324999999999999</v>
      </c>
      <c r="G202" s="9">
        <v>449.75</v>
      </c>
      <c r="H202" s="9">
        <v>1085</v>
      </c>
      <c r="I202" s="9">
        <v>307.89999999999998</v>
      </c>
      <c r="J202" s="9">
        <v>53.95</v>
      </c>
      <c r="K202" s="9">
        <v>4128</v>
      </c>
      <c r="L202" s="9">
        <v>8708</v>
      </c>
      <c r="M202" s="9">
        <v>2901</v>
      </c>
      <c r="N202" s="9">
        <v>7910</v>
      </c>
      <c r="O202" s="9">
        <v>2211</v>
      </c>
      <c r="P202" s="9">
        <v>8881</v>
      </c>
      <c r="Q202" s="9">
        <v>464.75</v>
      </c>
      <c r="R202" s="9">
        <v>664.3</v>
      </c>
      <c r="S202" s="9">
        <v>1.635</v>
      </c>
      <c r="T202" s="9">
        <v>2.1926999999999999</v>
      </c>
      <c r="U202" s="10">
        <v>623.25</v>
      </c>
      <c r="V202">
        <v>59.43</v>
      </c>
      <c r="W202">
        <v>63.12</v>
      </c>
      <c r="X202">
        <v>1.7737000000000001</v>
      </c>
    </row>
    <row r="203" spans="1:24" x14ac:dyDescent="0.25">
      <c r="A203" s="11"/>
      <c r="B203" s="12"/>
      <c r="C203" s="18">
        <v>46042</v>
      </c>
      <c r="D203" s="9">
        <v>568.25</v>
      </c>
      <c r="E203" s="9">
        <v>582.75</v>
      </c>
      <c r="F203" s="9">
        <v>6.22</v>
      </c>
      <c r="G203" s="9">
        <v>450.5</v>
      </c>
      <c r="H203" s="9">
        <v>1075</v>
      </c>
      <c r="I203" s="9">
        <v>309.10000000000002</v>
      </c>
      <c r="J203" s="9">
        <v>52.65</v>
      </c>
      <c r="K203" s="9">
        <v>4076</v>
      </c>
      <c r="L203" s="9">
        <v>8638</v>
      </c>
      <c r="M203" s="9">
        <v>2900</v>
      </c>
      <c r="N203" s="9">
        <v>7882</v>
      </c>
      <c r="O203" s="9">
        <v>2213</v>
      </c>
      <c r="P203" s="9">
        <v>8858</v>
      </c>
      <c r="Q203" s="9">
        <v>460.75</v>
      </c>
      <c r="R203" s="9">
        <v>656.8</v>
      </c>
      <c r="S203" s="9">
        <v>1.6425000000000001</v>
      </c>
      <c r="T203" s="9">
        <v>2.1718000000000002</v>
      </c>
      <c r="U203" s="10">
        <v>617</v>
      </c>
      <c r="V203">
        <v>59.03</v>
      </c>
      <c r="W203">
        <v>62.69</v>
      </c>
      <c r="X203">
        <v>1.7533000000000001</v>
      </c>
    </row>
    <row r="204" spans="1:24" x14ac:dyDescent="0.25">
      <c r="A204" s="8"/>
      <c r="B204" s="9"/>
      <c r="C204" s="18">
        <v>46041</v>
      </c>
      <c r="D204" s="9"/>
      <c r="E204" s="9"/>
      <c r="F204" s="9"/>
      <c r="G204" s="9"/>
      <c r="H204" s="9"/>
      <c r="I204" s="9"/>
      <c r="J204" s="9"/>
      <c r="K204" s="9">
        <v>4057</v>
      </c>
      <c r="L204" s="9">
        <v>8634</v>
      </c>
      <c r="M204" s="9">
        <v>2898</v>
      </c>
      <c r="N204" s="9">
        <v>7862</v>
      </c>
      <c r="O204" s="9">
        <v>2225</v>
      </c>
      <c r="P204" s="9">
        <v>8868</v>
      </c>
      <c r="Q204" s="9">
        <v>457.25</v>
      </c>
      <c r="R204" s="9">
        <v>655.5</v>
      </c>
      <c r="S204" s="9"/>
      <c r="T204" s="9"/>
      <c r="U204" s="10">
        <v>610.25</v>
      </c>
      <c r="W204">
        <v>61.8</v>
      </c>
    </row>
    <row r="205" spans="1:24" x14ac:dyDescent="0.25">
      <c r="A205" s="11"/>
      <c r="B205" s="12"/>
      <c r="C205" s="18">
        <v>46038</v>
      </c>
      <c r="D205" s="9">
        <v>573.75</v>
      </c>
      <c r="E205" s="9">
        <v>585.5</v>
      </c>
      <c r="F205" s="9">
        <v>6.2374999999999998</v>
      </c>
      <c r="G205" s="9">
        <v>449.75</v>
      </c>
      <c r="H205" s="9">
        <v>1080.25</v>
      </c>
      <c r="I205" s="9">
        <v>309.2</v>
      </c>
      <c r="J205" s="9">
        <v>52.7</v>
      </c>
      <c r="K205" s="9">
        <v>4059</v>
      </c>
      <c r="L205" s="9"/>
      <c r="M205" s="9"/>
      <c r="N205" s="9"/>
      <c r="O205" s="9"/>
      <c r="P205" s="9"/>
      <c r="Q205" s="9">
        <v>457.75</v>
      </c>
      <c r="R205" s="9">
        <v>654.1</v>
      </c>
      <c r="S205" s="9">
        <v>1.6274999999999999</v>
      </c>
      <c r="T205" s="9">
        <v>2.1381999999999999</v>
      </c>
      <c r="U205" s="10">
        <v>614.5</v>
      </c>
      <c r="V205">
        <v>58.37</v>
      </c>
      <c r="W205">
        <v>62.05</v>
      </c>
      <c r="X205">
        <v>1.7319</v>
      </c>
    </row>
    <row r="206" spans="1:24" x14ac:dyDescent="0.25">
      <c r="A206" s="8"/>
      <c r="B206" s="9"/>
      <c r="C206" s="18">
        <v>46037</v>
      </c>
      <c r="D206" s="9">
        <v>567</v>
      </c>
      <c r="E206" s="9">
        <v>576.75</v>
      </c>
      <c r="F206" s="9">
        <v>6.2175000000000002</v>
      </c>
      <c r="G206" s="9">
        <v>446.75</v>
      </c>
      <c r="H206" s="9">
        <v>1075.5</v>
      </c>
      <c r="I206" s="9">
        <v>306.8</v>
      </c>
      <c r="J206" s="9">
        <v>52.88</v>
      </c>
      <c r="K206" s="9">
        <v>3967</v>
      </c>
      <c r="L206" s="9"/>
      <c r="M206" s="9"/>
      <c r="N206" s="9"/>
      <c r="O206" s="9"/>
      <c r="P206" s="9"/>
      <c r="Q206" s="9">
        <v>457</v>
      </c>
      <c r="R206" s="9">
        <v>650.4</v>
      </c>
      <c r="S206" s="9">
        <v>1.615</v>
      </c>
      <c r="T206" s="9">
        <v>2.1295999999999999</v>
      </c>
      <c r="U206" s="10">
        <v>608</v>
      </c>
      <c r="V206">
        <v>58.16</v>
      </c>
      <c r="W206">
        <v>61.83</v>
      </c>
      <c r="X206">
        <v>1.7246999999999999</v>
      </c>
    </row>
    <row r="207" spans="1:24" x14ac:dyDescent="0.25">
      <c r="A207" s="11"/>
      <c r="B207" s="12"/>
      <c r="C207" s="18">
        <v>46036</v>
      </c>
      <c r="D207" s="9">
        <v>569.25</v>
      </c>
      <c r="E207" s="9">
        <v>581</v>
      </c>
      <c r="F207" s="9">
        <v>6.26</v>
      </c>
      <c r="G207" s="9">
        <v>447.75</v>
      </c>
      <c r="H207" s="9">
        <v>1069.75</v>
      </c>
      <c r="I207" s="9">
        <v>309.7</v>
      </c>
      <c r="J207" s="9">
        <v>51.29</v>
      </c>
      <c r="K207" s="9">
        <v>4047</v>
      </c>
      <c r="L207" s="9"/>
      <c r="M207" s="9"/>
      <c r="N207" s="9"/>
      <c r="O207" s="9"/>
      <c r="P207" s="9"/>
      <c r="Q207" s="9">
        <v>456.75</v>
      </c>
      <c r="R207" s="9">
        <v>646.6</v>
      </c>
      <c r="S207" s="9">
        <v>1.615</v>
      </c>
      <c r="T207" s="9">
        <v>2.19</v>
      </c>
      <c r="U207" s="10">
        <v>622.25</v>
      </c>
      <c r="V207">
        <v>60.14</v>
      </c>
      <c r="W207">
        <v>63.82</v>
      </c>
      <c r="X207">
        <v>1.7729999999999999</v>
      </c>
    </row>
    <row r="208" spans="1:24" x14ac:dyDescent="0.25">
      <c r="A208" s="8"/>
      <c r="B208" s="9"/>
      <c r="C208" s="18">
        <v>46035</v>
      </c>
      <c r="D208" s="9">
        <v>568</v>
      </c>
      <c r="E208" s="9">
        <v>579.5</v>
      </c>
      <c r="F208" s="9">
        <v>6.24</v>
      </c>
      <c r="G208" s="9">
        <v>445.75</v>
      </c>
      <c r="H208" s="9">
        <v>1070</v>
      </c>
      <c r="I208" s="9">
        <v>308.89999999999998</v>
      </c>
      <c r="J208" s="9">
        <v>51.4</v>
      </c>
      <c r="K208" s="9">
        <v>4060</v>
      </c>
      <c r="L208" s="9"/>
      <c r="M208" s="9"/>
      <c r="N208" s="9"/>
      <c r="O208" s="9"/>
      <c r="P208" s="9"/>
      <c r="Q208" s="9">
        <v>459.25</v>
      </c>
      <c r="R208" s="9">
        <v>650.70000000000005</v>
      </c>
      <c r="S208" s="9">
        <v>1.6174999999999999</v>
      </c>
      <c r="T208" s="9">
        <v>2.157</v>
      </c>
      <c r="U208" s="10">
        <v>616.75</v>
      </c>
      <c r="V208">
        <v>59.4</v>
      </c>
      <c r="W208">
        <v>63</v>
      </c>
      <c r="X208">
        <v>1.7529999999999999</v>
      </c>
    </row>
    <row r="209" spans="1:24" x14ac:dyDescent="0.25">
      <c r="A209" s="11"/>
      <c r="B209" s="12"/>
      <c r="C209" s="18">
        <v>46034</v>
      </c>
      <c r="D209" s="9">
        <v>568.75</v>
      </c>
      <c r="E209" s="9">
        <v>586</v>
      </c>
      <c r="F209" s="9">
        <v>6.2549999999999999</v>
      </c>
      <c r="G209" s="9">
        <v>451.5</v>
      </c>
      <c r="H209" s="9">
        <v>1078.5</v>
      </c>
      <c r="I209" s="9">
        <v>314.3</v>
      </c>
      <c r="J209" s="9">
        <v>50.51</v>
      </c>
      <c r="K209" s="9">
        <v>4088</v>
      </c>
      <c r="L209" s="9"/>
      <c r="M209" s="9"/>
      <c r="N209" s="9"/>
      <c r="O209" s="9"/>
      <c r="P209" s="9"/>
      <c r="Q209" s="9">
        <v>454.5</v>
      </c>
      <c r="R209" s="9">
        <v>642</v>
      </c>
      <c r="S209" s="9">
        <v>1.6325000000000001</v>
      </c>
      <c r="T209" s="9">
        <v>2.1118000000000001</v>
      </c>
      <c r="U209" s="10">
        <v>601</v>
      </c>
      <c r="V209">
        <v>58.4</v>
      </c>
      <c r="W209">
        <v>62.01</v>
      </c>
      <c r="X209">
        <v>1.7218</v>
      </c>
    </row>
    <row r="210" spans="1:24" x14ac:dyDescent="0.25">
      <c r="A210" s="8"/>
      <c r="B210" s="9"/>
      <c r="C210" s="18">
        <v>46031</v>
      </c>
      <c r="D210" s="9">
        <v>572.75</v>
      </c>
      <c r="E210" s="9">
        <v>590.75</v>
      </c>
      <c r="F210" s="9">
        <v>6.25</v>
      </c>
      <c r="G210" s="9">
        <v>464</v>
      </c>
      <c r="H210" s="9">
        <v>1082.5</v>
      </c>
      <c r="I210" s="9">
        <v>318.8</v>
      </c>
      <c r="J210" s="9">
        <v>50.08</v>
      </c>
      <c r="K210" s="9">
        <v>4028</v>
      </c>
      <c r="L210" s="9"/>
      <c r="M210" s="9"/>
      <c r="N210" s="9"/>
      <c r="O210" s="9"/>
      <c r="P210" s="9"/>
      <c r="Q210" s="9">
        <v>457.75</v>
      </c>
      <c r="R210" s="9">
        <v>642.9</v>
      </c>
      <c r="S210" s="9">
        <v>1.6725000000000001</v>
      </c>
      <c r="T210" s="9">
        <v>2.0977999999999999</v>
      </c>
      <c r="U210" s="10">
        <v>605.75</v>
      </c>
      <c r="V210">
        <v>58.09</v>
      </c>
      <c r="W210">
        <v>61.7</v>
      </c>
      <c r="X210">
        <v>1.7124999999999999</v>
      </c>
    </row>
    <row r="211" spans="1:24" x14ac:dyDescent="0.25">
      <c r="A211" s="11"/>
      <c r="B211" s="12"/>
      <c r="C211" s="18">
        <v>46030</v>
      </c>
      <c r="D211" s="9">
        <v>573.25</v>
      </c>
      <c r="E211" s="9">
        <v>591.25</v>
      </c>
      <c r="F211" s="9">
        <v>6.2949999999999999</v>
      </c>
      <c r="G211" s="9">
        <v>464.5</v>
      </c>
      <c r="H211" s="9">
        <v>1083.5</v>
      </c>
      <c r="I211" s="9">
        <v>317.2</v>
      </c>
      <c r="J211" s="9">
        <v>49.91</v>
      </c>
      <c r="K211" s="9">
        <v>4025</v>
      </c>
      <c r="L211" s="9"/>
      <c r="M211" s="9"/>
      <c r="N211" s="9"/>
      <c r="O211" s="9"/>
      <c r="P211" s="9"/>
      <c r="Q211" s="9">
        <v>455</v>
      </c>
      <c r="R211" s="9">
        <v>646.70000000000005</v>
      </c>
      <c r="S211" s="9">
        <v>1.66</v>
      </c>
      <c r="T211" s="9">
        <v>2.0808</v>
      </c>
      <c r="U211" s="10">
        <v>588.5</v>
      </c>
      <c r="V211">
        <v>57.27</v>
      </c>
      <c r="W211">
        <v>60.84</v>
      </c>
      <c r="X211">
        <v>1.6910000000000001</v>
      </c>
    </row>
    <row r="212" spans="1:24" x14ac:dyDescent="0.25">
      <c r="A212" s="8"/>
      <c r="B212" s="9"/>
      <c r="C212" s="18">
        <v>46029</v>
      </c>
      <c r="D212" s="9">
        <v>571.75</v>
      </c>
      <c r="E212" s="9">
        <v>590.75</v>
      </c>
      <c r="F212" s="9">
        <v>6.2874999999999996</v>
      </c>
      <c r="G212" s="9">
        <v>463.75</v>
      </c>
      <c r="H212" s="9">
        <v>1085.5</v>
      </c>
      <c r="I212" s="9">
        <v>319.8</v>
      </c>
      <c r="J212" s="9">
        <v>49.79</v>
      </c>
      <c r="K212" s="9">
        <v>4008</v>
      </c>
      <c r="L212" s="9"/>
      <c r="M212" s="9"/>
      <c r="N212" s="9"/>
      <c r="O212" s="9"/>
      <c r="P212" s="9"/>
      <c r="Q212" s="9">
        <v>453.75</v>
      </c>
      <c r="R212" s="9">
        <v>640.4</v>
      </c>
      <c r="S212" s="9">
        <v>1.655</v>
      </c>
      <c r="T212" s="9">
        <v>2.0352000000000001</v>
      </c>
      <c r="U212" s="10">
        <v>584</v>
      </c>
      <c r="V212">
        <v>55.85</v>
      </c>
      <c r="W212">
        <v>59.38</v>
      </c>
      <c r="X212">
        <v>1.6474</v>
      </c>
    </row>
    <row r="213" spans="1:24" x14ac:dyDescent="0.25">
      <c r="A213" s="11"/>
      <c r="B213" s="12"/>
      <c r="C213" s="18">
        <v>46028</v>
      </c>
      <c r="D213" s="9">
        <v>565.75</v>
      </c>
      <c r="E213" s="9">
        <v>580.25</v>
      </c>
      <c r="F213" s="9">
        <v>6.2525000000000004</v>
      </c>
      <c r="G213" s="9">
        <v>461.75</v>
      </c>
      <c r="H213" s="9">
        <v>1078.25</v>
      </c>
      <c r="I213" s="9">
        <v>315.60000000000002</v>
      </c>
      <c r="J213" s="9">
        <v>49.87</v>
      </c>
      <c r="K213" s="9">
        <v>3970</v>
      </c>
      <c r="L213" s="9"/>
      <c r="M213" s="9"/>
      <c r="N213" s="9"/>
      <c r="O213" s="9"/>
      <c r="P213" s="9"/>
      <c r="Q213" s="9">
        <v>454.25</v>
      </c>
      <c r="R213" s="9">
        <v>635.6</v>
      </c>
      <c r="S213" s="9">
        <v>1.665</v>
      </c>
      <c r="T213" s="9">
        <v>2.0527000000000002</v>
      </c>
      <c r="U213" s="10">
        <v>590.75</v>
      </c>
      <c r="V213">
        <v>56.56</v>
      </c>
      <c r="W213">
        <v>59.96</v>
      </c>
      <c r="X213">
        <v>1.6557999999999999</v>
      </c>
    </row>
    <row r="214" spans="1:24" x14ac:dyDescent="0.25">
      <c r="A214" s="8"/>
      <c r="B214" s="9"/>
      <c r="C214" s="18">
        <v>46027</v>
      </c>
      <c r="D214" s="9">
        <v>568.25</v>
      </c>
      <c r="E214" s="9">
        <v>581.25</v>
      </c>
      <c r="F214" s="9">
        <v>6.2850000000000001</v>
      </c>
      <c r="G214" s="9">
        <v>463.25</v>
      </c>
      <c r="H214" s="9">
        <v>1086</v>
      </c>
      <c r="I214" s="9">
        <v>316.7</v>
      </c>
      <c r="J214" s="9">
        <v>50.3</v>
      </c>
      <c r="K214" s="9">
        <v>4010</v>
      </c>
      <c r="L214" s="9"/>
      <c r="M214" s="9"/>
      <c r="N214" s="9"/>
      <c r="O214" s="9"/>
      <c r="P214" s="9"/>
      <c r="Q214" s="9">
        <v>449.25</v>
      </c>
      <c r="R214" s="9">
        <v>637.70000000000005</v>
      </c>
      <c r="S214" s="9">
        <v>1.6825000000000001</v>
      </c>
      <c r="T214" s="9">
        <v>2.0830000000000002</v>
      </c>
      <c r="U214" s="10">
        <v>592.75</v>
      </c>
      <c r="V214">
        <v>57.51</v>
      </c>
      <c r="W214">
        <v>60.78</v>
      </c>
      <c r="X214">
        <v>1.6767000000000001</v>
      </c>
    </row>
    <row r="215" spans="1:24" x14ac:dyDescent="0.25">
      <c r="A215" s="11"/>
      <c r="B215" s="12"/>
      <c r="C215" s="18">
        <v>46024</v>
      </c>
      <c r="D215" s="9">
        <v>564.75</v>
      </c>
      <c r="E215" s="9">
        <v>577.25</v>
      </c>
      <c r="F215" s="9">
        <v>6.3049999999999997</v>
      </c>
      <c r="G215" s="9">
        <v>458.5</v>
      </c>
      <c r="H215" s="9">
        <v>1073.75</v>
      </c>
      <c r="I215" s="9">
        <v>313.7</v>
      </c>
      <c r="J215" s="9">
        <v>49.71</v>
      </c>
      <c r="K215" s="9">
        <v>3975</v>
      </c>
      <c r="L215" s="9"/>
      <c r="M215" s="9"/>
      <c r="N215" s="9"/>
      <c r="O215" s="9"/>
      <c r="P215" s="9"/>
      <c r="Q215" s="9">
        <v>440</v>
      </c>
      <c r="R215" s="9">
        <v>634.1</v>
      </c>
      <c r="S215" s="9">
        <v>1.6675</v>
      </c>
      <c r="T215" s="9">
        <v>2.0596000000000001</v>
      </c>
      <c r="U215" s="10">
        <v>585</v>
      </c>
      <c r="V215">
        <v>57.01</v>
      </c>
      <c r="W215">
        <v>60.36</v>
      </c>
      <c r="X215">
        <v>1.6579999999999999</v>
      </c>
    </row>
    <row r="216" spans="1:24" x14ac:dyDescent="0.25">
      <c r="A216" s="8"/>
      <c r="B216" s="9"/>
      <c r="C216" s="18">
        <v>46022</v>
      </c>
      <c r="D216" s="9">
        <v>564.75</v>
      </c>
      <c r="E216" s="9">
        <v>576.75</v>
      </c>
      <c r="F216" s="9">
        <v>6.3324999999999996</v>
      </c>
      <c r="G216" s="9">
        <v>460.5</v>
      </c>
      <c r="H216" s="9">
        <v>1075</v>
      </c>
      <c r="I216" s="9">
        <v>316.89999999999998</v>
      </c>
      <c r="J216" s="9">
        <v>49.06</v>
      </c>
      <c r="K216" s="9">
        <v>4020</v>
      </c>
      <c r="L216" s="9"/>
      <c r="M216" s="9"/>
      <c r="N216" s="9"/>
      <c r="O216" s="9"/>
      <c r="P216" s="9"/>
      <c r="Q216" s="9">
        <v>446.5</v>
      </c>
      <c r="R216" s="9">
        <v>632</v>
      </c>
      <c r="S216" s="9">
        <v>1.67</v>
      </c>
      <c r="T216" s="9">
        <v>2.0575999999999999</v>
      </c>
      <c r="U216" s="10">
        <v>595.25</v>
      </c>
      <c r="V216">
        <v>56.92</v>
      </c>
      <c r="W216">
        <v>60.23</v>
      </c>
      <c r="X216">
        <v>1.6560999999999999</v>
      </c>
    </row>
    <row r="217" spans="1:24" x14ac:dyDescent="0.25">
      <c r="A217" s="11"/>
      <c r="B217" s="12"/>
      <c r="C217" s="18">
        <v>46021</v>
      </c>
      <c r="D217" s="9">
        <v>567.5</v>
      </c>
      <c r="E217" s="9">
        <v>583.25</v>
      </c>
      <c r="F217" s="9">
        <v>6.375</v>
      </c>
      <c r="G217" s="9">
        <v>461</v>
      </c>
      <c r="H217" s="9">
        <v>1084.25</v>
      </c>
      <c r="I217" s="9">
        <v>318.3</v>
      </c>
      <c r="J217" s="9">
        <v>49.83</v>
      </c>
      <c r="K217" s="9">
        <v>4027</v>
      </c>
      <c r="L217" s="9"/>
      <c r="M217" s="9"/>
      <c r="N217" s="9"/>
      <c r="O217" s="9"/>
      <c r="P217" s="9"/>
      <c r="Q217" s="9">
        <v>446</v>
      </c>
      <c r="R217" s="9">
        <v>637.5</v>
      </c>
      <c r="S217" s="9">
        <v>1.6775</v>
      </c>
      <c r="T217" s="9">
        <v>2.0750999999999999</v>
      </c>
      <c r="U217" s="10">
        <v>595.5</v>
      </c>
      <c r="V217">
        <v>57.42</v>
      </c>
      <c r="W217">
        <v>60.78</v>
      </c>
      <c r="X217">
        <v>1.6707000000000001</v>
      </c>
    </row>
    <row r="218" spans="1:24" x14ac:dyDescent="0.25">
      <c r="A218" s="8"/>
      <c r="B218" s="9"/>
      <c r="C218" s="18">
        <v>46020</v>
      </c>
      <c r="D218" s="9">
        <v>570.25</v>
      </c>
      <c r="E218" s="9">
        <v>588</v>
      </c>
      <c r="F218" s="9">
        <v>6.3775000000000004</v>
      </c>
      <c r="G218" s="9">
        <v>463</v>
      </c>
      <c r="H218" s="9">
        <v>1085.25</v>
      </c>
      <c r="I218" s="9">
        <v>318.10000000000002</v>
      </c>
      <c r="J218" s="9">
        <v>49.74</v>
      </c>
      <c r="K218" s="9">
        <v>3997</v>
      </c>
      <c r="L218" s="9"/>
      <c r="M218" s="9"/>
      <c r="N218" s="9"/>
      <c r="O218" s="9"/>
      <c r="P218" s="9"/>
      <c r="Q218" s="9">
        <v>445</v>
      </c>
      <c r="R218" s="9">
        <v>631.9</v>
      </c>
      <c r="S218" s="9">
        <v>1.6725000000000001</v>
      </c>
      <c r="T218" s="9">
        <v>2.0706000000000002</v>
      </c>
      <c r="U218" s="10">
        <v>595</v>
      </c>
      <c r="V218">
        <v>57.49</v>
      </c>
      <c r="W218">
        <v>60.9</v>
      </c>
      <c r="X218">
        <v>1.6707000000000001</v>
      </c>
    </row>
    <row r="219" spans="1:24" x14ac:dyDescent="0.25">
      <c r="A219" s="11"/>
      <c r="B219" s="12"/>
      <c r="C219" s="18">
        <v>46017</v>
      </c>
      <c r="D219" s="9">
        <v>574.5</v>
      </c>
      <c r="E219" s="9">
        <v>593</v>
      </c>
      <c r="F219" s="9">
        <v>6.37</v>
      </c>
      <c r="G219" s="9">
        <v>468.5</v>
      </c>
      <c r="H219" s="9">
        <v>1092.25</v>
      </c>
      <c r="I219" s="9">
        <v>321.3</v>
      </c>
      <c r="J219" s="9">
        <v>49.65</v>
      </c>
      <c r="K219" s="9">
        <v>4022</v>
      </c>
      <c r="L219" s="9"/>
      <c r="M219" s="9"/>
      <c r="N219" s="9"/>
      <c r="O219" s="9"/>
      <c r="P219" s="9"/>
      <c r="Q219" s="9"/>
      <c r="R219" s="9"/>
      <c r="S219" s="9">
        <v>1.6875</v>
      </c>
      <c r="T219" s="9">
        <v>2.0470000000000002</v>
      </c>
      <c r="U219" s="10">
        <v>592.25</v>
      </c>
      <c r="V219">
        <v>56.58</v>
      </c>
      <c r="W219">
        <v>60.02</v>
      </c>
      <c r="X219">
        <v>1.6485000000000001</v>
      </c>
    </row>
    <row r="220" spans="1:24" x14ac:dyDescent="0.25">
      <c r="A220" s="8"/>
      <c r="B220" s="9"/>
      <c r="C220" s="18">
        <v>46015</v>
      </c>
      <c r="D220" s="9">
        <v>575.5</v>
      </c>
      <c r="E220" s="9">
        <v>592.75</v>
      </c>
      <c r="F220" s="9">
        <v>6.375</v>
      </c>
      <c r="G220" s="9">
        <v>467.75</v>
      </c>
      <c r="H220" s="9">
        <v>1094</v>
      </c>
      <c r="I220" s="9">
        <v>321.3</v>
      </c>
      <c r="J220" s="9">
        <v>49.85</v>
      </c>
      <c r="K220" s="9">
        <v>4003</v>
      </c>
      <c r="L220" s="9"/>
      <c r="M220" s="9"/>
      <c r="N220" s="9"/>
      <c r="O220" s="9"/>
      <c r="P220" s="9"/>
      <c r="Q220" s="9">
        <v>445.5</v>
      </c>
      <c r="R220" s="9">
        <v>640.20000000000005</v>
      </c>
      <c r="S220" s="9">
        <v>1.6875</v>
      </c>
      <c r="T220" s="9">
        <v>2.0794999999999999</v>
      </c>
      <c r="U220" s="10">
        <v>603</v>
      </c>
      <c r="V220">
        <v>57.8</v>
      </c>
      <c r="W220">
        <v>61.27</v>
      </c>
      <c r="X220">
        <v>1.6839</v>
      </c>
    </row>
    <row r="221" spans="1:24" x14ac:dyDescent="0.25">
      <c r="A221" s="11"/>
      <c r="B221" s="12"/>
      <c r="C221" s="18">
        <v>46014</v>
      </c>
      <c r="D221" s="9">
        <v>570</v>
      </c>
      <c r="E221" s="9">
        <v>587</v>
      </c>
      <c r="F221" s="9">
        <v>6.3650000000000002</v>
      </c>
      <c r="G221" s="9">
        <v>465</v>
      </c>
      <c r="H221" s="9">
        <v>1083</v>
      </c>
      <c r="I221" s="9">
        <v>318.2</v>
      </c>
      <c r="J221" s="9">
        <v>49.22</v>
      </c>
      <c r="K221" s="9">
        <v>4012</v>
      </c>
      <c r="L221" s="9"/>
      <c r="M221" s="9"/>
      <c r="N221" s="9"/>
      <c r="O221" s="9"/>
      <c r="P221" s="9"/>
      <c r="Q221" s="9">
        <v>448.25</v>
      </c>
      <c r="R221" s="9">
        <v>632.29999999999995</v>
      </c>
      <c r="S221" s="9">
        <v>1.6625000000000001</v>
      </c>
      <c r="T221" s="9">
        <v>2.0920999999999998</v>
      </c>
      <c r="U221" s="10">
        <v>598.5</v>
      </c>
      <c r="V221">
        <v>57.7</v>
      </c>
      <c r="W221">
        <v>61.15</v>
      </c>
      <c r="X221">
        <v>1.68</v>
      </c>
    </row>
    <row r="222" spans="1:24" x14ac:dyDescent="0.25">
      <c r="A222" s="8"/>
      <c r="B222" s="9"/>
      <c r="C222" s="18">
        <v>46013</v>
      </c>
      <c r="D222" s="9">
        <v>568.5</v>
      </c>
      <c r="E222" s="9">
        <v>581.25</v>
      </c>
      <c r="F222" s="9">
        <v>6.375</v>
      </c>
      <c r="G222" s="9">
        <v>464.5</v>
      </c>
      <c r="H222" s="9">
        <v>1081.75</v>
      </c>
      <c r="I222" s="9">
        <v>317</v>
      </c>
      <c r="J222" s="9">
        <v>49.57</v>
      </c>
      <c r="K222" s="9">
        <v>3997</v>
      </c>
      <c r="L222" s="9"/>
      <c r="M222" s="9"/>
      <c r="N222" s="9"/>
      <c r="O222" s="9"/>
      <c r="P222" s="9"/>
      <c r="Q222" s="9">
        <v>451</v>
      </c>
      <c r="R222" s="9">
        <v>639.20000000000005</v>
      </c>
      <c r="S222" s="9">
        <v>1.665</v>
      </c>
      <c r="T222" s="9">
        <v>2.0792000000000002</v>
      </c>
      <c r="U222" s="10">
        <v>594.25</v>
      </c>
      <c r="V222">
        <v>57.5</v>
      </c>
      <c r="W222">
        <v>60.97</v>
      </c>
      <c r="X222">
        <v>1.6739999999999999</v>
      </c>
    </row>
    <row r="223" spans="1:24" x14ac:dyDescent="0.25">
      <c r="A223" s="11"/>
      <c r="B223" s="12"/>
      <c r="C223" s="18">
        <v>46010</v>
      </c>
      <c r="D223" s="9">
        <v>563</v>
      </c>
      <c r="E223" s="9">
        <v>575</v>
      </c>
      <c r="F223" s="9">
        <v>6.3475000000000001</v>
      </c>
      <c r="G223" s="9">
        <v>462</v>
      </c>
      <c r="H223" s="9">
        <v>1077.75</v>
      </c>
      <c r="I223" s="9">
        <v>316.10000000000002</v>
      </c>
      <c r="J223" s="9">
        <v>48.94</v>
      </c>
      <c r="K223" s="9">
        <v>3919</v>
      </c>
      <c r="L223" s="9"/>
      <c r="M223" s="9"/>
      <c r="N223" s="9"/>
      <c r="O223" s="9"/>
      <c r="P223" s="9"/>
      <c r="Q223" s="9">
        <v>448</v>
      </c>
      <c r="R223" s="9">
        <v>624.79999999999995</v>
      </c>
      <c r="S223" s="9">
        <v>1.6675</v>
      </c>
      <c r="T223" s="9">
        <v>2.0491000000000001</v>
      </c>
      <c r="U223" s="10">
        <v>586.75</v>
      </c>
      <c r="V223">
        <v>56.44</v>
      </c>
      <c r="W223">
        <v>59.94</v>
      </c>
      <c r="X223">
        <v>1.6455</v>
      </c>
    </row>
    <row r="224" spans="1:24" x14ac:dyDescent="0.25">
      <c r="A224" s="8"/>
      <c r="B224" s="9"/>
      <c r="C224" s="18">
        <v>46009</v>
      </c>
      <c r="D224" s="9">
        <v>562</v>
      </c>
      <c r="E224" s="9">
        <v>576.25</v>
      </c>
      <c r="F224" s="9">
        <v>6.2975000000000003</v>
      </c>
      <c r="G224" s="9">
        <v>462.25</v>
      </c>
      <c r="H224" s="9">
        <v>1081</v>
      </c>
      <c r="I224" s="9">
        <v>317.10000000000002</v>
      </c>
      <c r="J224" s="9">
        <v>48.99</v>
      </c>
      <c r="K224" s="9">
        <v>3980</v>
      </c>
      <c r="L224" s="9"/>
      <c r="M224" s="9"/>
      <c r="N224" s="9"/>
      <c r="O224" s="9"/>
      <c r="P224" s="9"/>
      <c r="Q224" s="9">
        <v>454</v>
      </c>
      <c r="R224" s="9">
        <v>629.79999999999995</v>
      </c>
      <c r="S224" s="9">
        <v>1.6850000000000001</v>
      </c>
      <c r="T224" s="9">
        <v>2.0508000000000002</v>
      </c>
      <c r="U224" s="10">
        <v>588.25</v>
      </c>
      <c r="V224">
        <v>56.17</v>
      </c>
      <c r="W224">
        <v>59.65</v>
      </c>
      <c r="X224">
        <v>1.6331</v>
      </c>
    </row>
    <row r="225" spans="1:24" x14ac:dyDescent="0.25">
      <c r="A225" s="11"/>
      <c r="B225" s="12"/>
      <c r="C225" s="18">
        <v>46008</v>
      </c>
      <c r="D225" s="9">
        <v>559.5</v>
      </c>
      <c r="E225" s="9">
        <v>568.5</v>
      </c>
      <c r="F225" s="9">
        <v>6.2125000000000004</v>
      </c>
      <c r="G225" s="9">
        <v>460.5</v>
      </c>
      <c r="H225" s="9">
        <v>1085</v>
      </c>
      <c r="I225" s="9">
        <v>316.10000000000002</v>
      </c>
      <c r="J225" s="9">
        <v>49.43</v>
      </c>
      <c r="K225" s="9">
        <v>3979</v>
      </c>
      <c r="L225" s="9"/>
      <c r="M225" s="9"/>
      <c r="N225" s="9"/>
      <c r="O225" s="9"/>
      <c r="P225" s="9"/>
      <c r="Q225" s="9">
        <v>455</v>
      </c>
      <c r="R225" s="9">
        <v>635.6</v>
      </c>
      <c r="S225" s="9">
        <v>1.68</v>
      </c>
      <c r="T225" s="9">
        <v>2.0491000000000001</v>
      </c>
      <c r="U225" s="10">
        <v>588.25</v>
      </c>
      <c r="V225">
        <v>56.15</v>
      </c>
      <c r="W225">
        <v>59.66</v>
      </c>
      <c r="X225">
        <v>1.6296999999999999</v>
      </c>
    </row>
    <row r="226" spans="1:24" x14ac:dyDescent="0.25">
      <c r="A226" s="8"/>
      <c r="B226" s="9"/>
      <c r="C226" s="18">
        <v>46007</v>
      </c>
      <c r="D226" s="9">
        <v>560</v>
      </c>
      <c r="E226" s="9">
        <v>566.25</v>
      </c>
      <c r="F226" s="9">
        <v>6.2450000000000001</v>
      </c>
      <c r="G226" s="9">
        <v>459.5</v>
      </c>
      <c r="H226" s="9">
        <v>1090.5</v>
      </c>
      <c r="I226" s="9">
        <v>321.2</v>
      </c>
      <c r="J226" s="9">
        <v>49.35</v>
      </c>
      <c r="K226" s="9">
        <v>3967</v>
      </c>
      <c r="L226" s="9"/>
      <c r="M226" s="9"/>
      <c r="N226" s="9"/>
      <c r="O226" s="9"/>
      <c r="P226" s="9"/>
      <c r="Q226" s="9">
        <v>455.75</v>
      </c>
      <c r="R226" s="9">
        <v>637.79999999999995</v>
      </c>
      <c r="S226" s="9">
        <v>1.67</v>
      </c>
      <c r="T226" s="9">
        <v>2.044</v>
      </c>
      <c r="U226" s="10">
        <v>585.25</v>
      </c>
      <c r="V226">
        <v>55.76</v>
      </c>
      <c r="W226">
        <v>59.29</v>
      </c>
      <c r="X226">
        <v>1.6265000000000001</v>
      </c>
    </row>
    <row r="227" spans="1:24" x14ac:dyDescent="0.25">
      <c r="A227" s="11"/>
      <c r="B227" s="12"/>
      <c r="C227" s="18">
        <v>46006</v>
      </c>
      <c r="D227" s="9">
        <v>567.75</v>
      </c>
      <c r="E227" s="9">
        <v>572</v>
      </c>
      <c r="F227" s="9">
        <v>6.2575000000000003</v>
      </c>
      <c r="G227" s="9">
        <v>461</v>
      </c>
      <c r="H227" s="9">
        <v>1098.5</v>
      </c>
      <c r="I227" s="9">
        <v>321.3</v>
      </c>
      <c r="J227" s="9">
        <v>50.15</v>
      </c>
      <c r="K227" s="9">
        <v>3988</v>
      </c>
      <c r="L227" s="9"/>
      <c r="M227" s="9"/>
      <c r="N227" s="9"/>
      <c r="O227" s="9"/>
      <c r="P227" s="9"/>
      <c r="Q227" s="9">
        <v>458</v>
      </c>
      <c r="R227" s="9">
        <v>640.4</v>
      </c>
      <c r="S227" s="9">
        <v>1.675</v>
      </c>
      <c r="T227" s="9">
        <v>2.0836999999999999</v>
      </c>
      <c r="U227" s="10">
        <v>594.25</v>
      </c>
      <c r="V227">
        <v>57.09</v>
      </c>
      <c r="W227">
        <v>60.64</v>
      </c>
      <c r="X227">
        <v>1.6654</v>
      </c>
    </row>
    <row r="228" spans="1:24" x14ac:dyDescent="0.25">
      <c r="A228" s="8"/>
      <c r="B228" s="9"/>
      <c r="C228" s="18">
        <v>46003</v>
      </c>
      <c r="D228" s="9">
        <v>574</v>
      </c>
      <c r="E228" s="9">
        <v>577.75</v>
      </c>
      <c r="F228" s="9">
        <v>6.3150000000000004</v>
      </c>
      <c r="G228" s="9">
        <v>462</v>
      </c>
      <c r="H228" s="9">
        <v>1098</v>
      </c>
      <c r="I228" s="9">
        <v>320.5</v>
      </c>
      <c r="J228" s="9">
        <v>50.6</v>
      </c>
      <c r="K228" s="9">
        <v>4012</v>
      </c>
      <c r="L228" s="9"/>
      <c r="M228" s="9"/>
      <c r="N228" s="9"/>
      <c r="O228" s="9"/>
      <c r="P228" s="9"/>
      <c r="Q228" s="9">
        <v>460.25</v>
      </c>
      <c r="R228" s="9">
        <v>641.79999999999995</v>
      </c>
      <c r="S228" s="9">
        <v>1.69</v>
      </c>
      <c r="T228" s="9">
        <v>2.0880000000000001</v>
      </c>
      <c r="U228" s="10">
        <v>597.5</v>
      </c>
      <c r="V228">
        <v>57.16</v>
      </c>
      <c r="W228">
        <v>60.68</v>
      </c>
      <c r="X228">
        <v>1.669</v>
      </c>
    </row>
    <row r="229" spans="1:24" x14ac:dyDescent="0.25">
      <c r="A229" s="11"/>
      <c r="B229" s="12"/>
      <c r="C229" s="18">
        <v>46002</v>
      </c>
      <c r="D229" s="9">
        <v>577</v>
      </c>
      <c r="E229" s="9">
        <v>581</v>
      </c>
      <c r="F229" s="9">
        <v>6.3224999999999998</v>
      </c>
      <c r="G229" s="9">
        <v>465</v>
      </c>
      <c r="H229" s="9">
        <v>1107.75</v>
      </c>
      <c r="I229" s="9">
        <v>323.2</v>
      </c>
      <c r="J229" s="9">
        <v>51.19</v>
      </c>
      <c r="K229" s="9">
        <v>4062</v>
      </c>
      <c r="L229" s="9"/>
      <c r="M229" s="9"/>
      <c r="N229" s="9"/>
      <c r="O229" s="9"/>
      <c r="P229" s="9"/>
      <c r="Q229" s="9">
        <v>463.75</v>
      </c>
      <c r="R229" s="9">
        <v>653.4</v>
      </c>
      <c r="S229" s="9">
        <v>1.6924999999999999</v>
      </c>
      <c r="T229" s="9">
        <v>2.1040000000000001</v>
      </c>
      <c r="U229" s="10">
        <v>600</v>
      </c>
      <c r="V229">
        <v>57.43</v>
      </c>
      <c r="W229">
        <v>60.97</v>
      </c>
      <c r="X229">
        <v>1.6807000000000001</v>
      </c>
    </row>
    <row r="230" spans="1:24" x14ac:dyDescent="0.25">
      <c r="A230" s="8"/>
      <c r="B230" s="9"/>
      <c r="C230" s="18">
        <v>46001</v>
      </c>
      <c r="D230" s="9">
        <v>574.75</v>
      </c>
      <c r="E230" s="9">
        <v>582</v>
      </c>
      <c r="F230" s="9">
        <v>6.32</v>
      </c>
      <c r="G230" s="9">
        <v>463.75</v>
      </c>
      <c r="H230" s="9">
        <v>1104.75</v>
      </c>
      <c r="I230" s="9">
        <v>322.89999999999998</v>
      </c>
      <c r="J230" s="9">
        <v>51.39</v>
      </c>
      <c r="K230" s="9">
        <v>4069</v>
      </c>
      <c r="L230" s="9"/>
      <c r="M230" s="9"/>
      <c r="N230" s="9"/>
      <c r="O230" s="9"/>
      <c r="P230" s="9"/>
      <c r="Q230" s="9">
        <v>461.5</v>
      </c>
      <c r="R230" s="9">
        <v>650.4</v>
      </c>
      <c r="S230" s="9">
        <v>1.6725000000000001</v>
      </c>
      <c r="T230" s="9">
        <v>2.1294</v>
      </c>
      <c r="U230" s="10">
        <v>607</v>
      </c>
      <c r="V230">
        <v>58.04</v>
      </c>
      <c r="W230">
        <v>61.52</v>
      </c>
      <c r="X230">
        <v>1.7034</v>
      </c>
    </row>
    <row r="231" spans="1:24" x14ac:dyDescent="0.25">
      <c r="A231" s="11"/>
      <c r="B231" s="12"/>
      <c r="C231" s="18">
        <v>46000</v>
      </c>
      <c r="D231" s="9">
        <v>578</v>
      </c>
      <c r="E231" s="9">
        <v>584.5</v>
      </c>
      <c r="F231" s="9">
        <v>6.3049999999999997</v>
      </c>
      <c r="G231" s="9">
        <v>465.75</v>
      </c>
      <c r="H231" s="9">
        <v>1103.75</v>
      </c>
      <c r="I231" s="9">
        <v>323.89999999999998</v>
      </c>
      <c r="J231" s="9">
        <v>51.28</v>
      </c>
      <c r="K231" s="9">
        <v>4092</v>
      </c>
      <c r="L231" s="9"/>
      <c r="M231" s="9"/>
      <c r="N231" s="9"/>
      <c r="O231" s="9"/>
      <c r="P231" s="9"/>
      <c r="Q231" s="9">
        <v>460</v>
      </c>
      <c r="R231" s="9">
        <v>656.9</v>
      </c>
      <c r="S231" s="9">
        <v>1.665</v>
      </c>
      <c r="T231" s="9">
        <v>2.1240999999999999</v>
      </c>
      <c r="U231" s="10">
        <v>608.5</v>
      </c>
      <c r="V231">
        <v>57.85</v>
      </c>
      <c r="W231">
        <v>61.38</v>
      </c>
      <c r="X231">
        <v>1.6994</v>
      </c>
    </row>
    <row r="232" spans="1:24" x14ac:dyDescent="0.25">
      <c r="A232" s="8"/>
      <c r="B232" s="9"/>
      <c r="C232" s="18">
        <v>45999</v>
      </c>
      <c r="D232" s="9">
        <v>578.25</v>
      </c>
      <c r="E232" s="9">
        <v>584.75</v>
      </c>
      <c r="F232" s="9">
        <v>6.2824999999999998</v>
      </c>
      <c r="G232" s="9">
        <v>464</v>
      </c>
      <c r="H232" s="9">
        <v>1110.75</v>
      </c>
      <c r="I232" s="9">
        <v>325.2</v>
      </c>
      <c r="J232" s="9">
        <v>51.44</v>
      </c>
      <c r="K232" s="9">
        <v>4087</v>
      </c>
      <c r="L232" s="9"/>
      <c r="M232" s="9"/>
      <c r="N232" s="9"/>
      <c r="O232" s="9"/>
      <c r="P232" s="9"/>
      <c r="Q232" s="9">
        <v>464</v>
      </c>
      <c r="R232" s="9">
        <v>653.29999999999995</v>
      </c>
      <c r="S232" s="9">
        <v>1.6850000000000001</v>
      </c>
      <c r="T232" s="9">
        <v>2.1324999999999998</v>
      </c>
      <c r="U232" s="10">
        <v>613</v>
      </c>
      <c r="V232">
        <v>58.07</v>
      </c>
      <c r="W232">
        <v>61.63</v>
      </c>
      <c r="X232">
        <v>1.7024999999999999</v>
      </c>
    </row>
    <row r="233" spans="1:24" x14ac:dyDescent="0.25">
      <c r="A233" s="11"/>
      <c r="B233" s="12"/>
      <c r="C233" s="18">
        <v>45996</v>
      </c>
      <c r="D233" s="9">
        <v>578.75</v>
      </c>
      <c r="E233" s="9">
        <v>589</v>
      </c>
      <c r="F233" s="9">
        <v>6.3025000000000002</v>
      </c>
      <c r="G233" s="9">
        <v>464.25</v>
      </c>
      <c r="H233" s="9">
        <v>1112.5</v>
      </c>
      <c r="I233" s="9">
        <v>326</v>
      </c>
      <c r="J233" s="9">
        <v>51.91</v>
      </c>
      <c r="K233" s="9">
        <v>4138</v>
      </c>
      <c r="L233" s="9"/>
      <c r="M233" s="9"/>
      <c r="N233" s="9"/>
      <c r="O233" s="9"/>
      <c r="P233" s="9"/>
      <c r="Q233" s="9">
        <v>462.25</v>
      </c>
      <c r="R233" s="9">
        <v>657.8</v>
      </c>
      <c r="S233" s="9">
        <v>1.7024999999999999</v>
      </c>
      <c r="T233" s="9">
        <v>2.1602000000000001</v>
      </c>
      <c r="U233" s="10">
        <v>620</v>
      </c>
      <c r="V233">
        <v>58.95</v>
      </c>
      <c r="W233">
        <v>62.55</v>
      </c>
      <c r="X233">
        <v>1.7317</v>
      </c>
    </row>
    <row r="234" spans="1:24" x14ac:dyDescent="0.25">
      <c r="A234" s="8"/>
      <c r="B234" s="9"/>
      <c r="C234" s="18">
        <v>45995</v>
      </c>
      <c r="D234" s="9">
        <v>583</v>
      </c>
      <c r="E234" s="9">
        <v>591.75</v>
      </c>
      <c r="F234" s="9">
        <v>6.3075000000000001</v>
      </c>
      <c r="G234" s="9">
        <v>464.75</v>
      </c>
      <c r="H234" s="9">
        <v>1123</v>
      </c>
      <c r="I234" s="9">
        <v>329.6</v>
      </c>
      <c r="J234" s="9">
        <v>51.99</v>
      </c>
      <c r="K234" s="9">
        <v>4091</v>
      </c>
      <c r="L234" s="9"/>
      <c r="M234" s="9"/>
      <c r="N234" s="9"/>
      <c r="O234" s="9"/>
      <c r="P234" s="9"/>
      <c r="Q234" s="9">
        <v>461.75</v>
      </c>
      <c r="R234" s="9">
        <v>663.3</v>
      </c>
      <c r="S234" s="9">
        <v>1.6625000000000001</v>
      </c>
      <c r="T234" s="9">
        <v>2.1475</v>
      </c>
      <c r="U234" s="10">
        <v>615.75</v>
      </c>
      <c r="V234">
        <v>58.58</v>
      </c>
      <c r="W234">
        <v>62.17</v>
      </c>
      <c r="X234">
        <v>1.7232000000000001</v>
      </c>
    </row>
    <row r="235" spans="1:24" x14ac:dyDescent="0.25">
      <c r="A235" s="11"/>
      <c r="B235" s="12"/>
      <c r="C235" s="18">
        <v>45994</v>
      </c>
      <c r="D235" s="9">
        <v>581.25</v>
      </c>
      <c r="E235" s="9">
        <v>587</v>
      </c>
      <c r="F235" s="9">
        <v>6.32</v>
      </c>
      <c r="G235" s="9">
        <v>463.5</v>
      </c>
      <c r="H235" s="9">
        <v>1122.5</v>
      </c>
      <c r="I235" s="9">
        <v>330.3</v>
      </c>
      <c r="J235" s="9">
        <v>51.95</v>
      </c>
      <c r="K235" s="9">
        <v>4140</v>
      </c>
      <c r="L235" s="9"/>
      <c r="M235" s="9"/>
      <c r="N235" s="9"/>
      <c r="O235" s="9"/>
      <c r="P235" s="9"/>
      <c r="Q235" s="9">
        <v>464.75</v>
      </c>
      <c r="R235" s="9">
        <v>661.4</v>
      </c>
      <c r="S235" s="9">
        <v>1.6675</v>
      </c>
      <c r="T235" s="9">
        <v>2.1423999999999999</v>
      </c>
      <c r="U235" s="10">
        <v>616</v>
      </c>
      <c r="V235">
        <v>58.18</v>
      </c>
      <c r="W235">
        <v>61.83</v>
      </c>
      <c r="X235">
        <v>1.7171000000000001</v>
      </c>
    </row>
    <row r="236" spans="1:24" x14ac:dyDescent="0.25">
      <c r="A236" s="8"/>
      <c r="B236" s="9"/>
      <c r="C236" s="18">
        <v>45993</v>
      </c>
      <c r="D236" s="9">
        <v>584.5</v>
      </c>
      <c r="E236" s="9">
        <v>589.25</v>
      </c>
      <c r="F236" s="9">
        <v>6.34</v>
      </c>
      <c r="G236" s="9">
        <v>469.25</v>
      </c>
      <c r="H236" s="9">
        <v>1131</v>
      </c>
      <c r="I236" s="9">
        <v>331.3</v>
      </c>
      <c r="J236" s="9">
        <v>52.84</v>
      </c>
      <c r="K236" s="9">
        <v>4142</v>
      </c>
      <c r="L236" s="9"/>
      <c r="M236" s="9"/>
      <c r="N236" s="9"/>
      <c r="O236" s="9"/>
      <c r="P236" s="9"/>
      <c r="Q236" s="9">
        <v>468.75</v>
      </c>
      <c r="R236" s="9">
        <v>672.8</v>
      </c>
      <c r="S236" s="9">
        <v>1.675</v>
      </c>
      <c r="T236" s="9">
        <v>2.1493000000000002</v>
      </c>
      <c r="U236" s="10">
        <v>618</v>
      </c>
      <c r="V236">
        <v>58.11</v>
      </c>
      <c r="W236">
        <v>61.73</v>
      </c>
      <c r="X236">
        <v>1.7189000000000001</v>
      </c>
    </row>
    <row r="237" spans="1:24" x14ac:dyDescent="0.25">
      <c r="A237" s="11"/>
      <c r="B237" s="12"/>
      <c r="C237" s="18">
        <v>45992</v>
      </c>
      <c r="D237" s="9">
        <v>581.25</v>
      </c>
      <c r="E237" s="9">
        <v>582.5</v>
      </c>
      <c r="F237" s="9">
        <v>6.3075000000000001</v>
      </c>
      <c r="G237" s="9">
        <v>467</v>
      </c>
      <c r="H237" s="9">
        <v>1133.25</v>
      </c>
      <c r="I237" s="9">
        <v>332.7</v>
      </c>
      <c r="J237" s="9">
        <v>52.51</v>
      </c>
      <c r="K237" s="9">
        <v>4084</v>
      </c>
      <c r="L237" s="9"/>
      <c r="M237" s="9"/>
      <c r="N237" s="9"/>
      <c r="O237" s="9"/>
      <c r="P237" s="9"/>
      <c r="Q237" s="9">
        <v>465.75</v>
      </c>
      <c r="R237" s="9">
        <v>674.4</v>
      </c>
      <c r="S237" s="9">
        <v>1.68</v>
      </c>
      <c r="T237" s="9">
        <v>2.1655000000000002</v>
      </c>
      <c r="U237" s="10">
        <v>619.25</v>
      </c>
      <c r="V237">
        <v>58.79</v>
      </c>
      <c r="W237">
        <v>62.39</v>
      </c>
      <c r="X237">
        <v>1.7413000000000001</v>
      </c>
    </row>
    <row r="238" spans="1:24" x14ac:dyDescent="0.25">
      <c r="A238" s="8"/>
      <c r="B238" s="9"/>
      <c r="C238" s="18">
        <v>45989</v>
      </c>
      <c r="D238" s="9">
        <v>584</v>
      </c>
      <c r="E238" s="9">
        <v>583.75</v>
      </c>
      <c r="F238" s="9">
        <v>6.3125</v>
      </c>
      <c r="G238" s="9">
        <v>468.25</v>
      </c>
      <c r="H238" s="9">
        <v>1136.25</v>
      </c>
      <c r="I238" s="9">
        <v>336.5</v>
      </c>
      <c r="J238" s="9">
        <v>52.04</v>
      </c>
      <c r="K238" s="9">
        <v>4095</v>
      </c>
      <c r="L238" s="9"/>
      <c r="M238" s="9"/>
      <c r="N238" s="9"/>
      <c r="O238" s="9"/>
      <c r="P238" s="9"/>
      <c r="Q238" s="9">
        <v>469.75</v>
      </c>
      <c r="R238" s="9">
        <v>676.1</v>
      </c>
      <c r="S238" s="9">
        <v>1.6850000000000001</v>
      </c>
      <c r="T238" s="9">
        <v>2.1372</v>
      </c>
      <c r="U238" s="10">
        <v>619.75</v>
      </c>
      <c r="V238">
        <v>58.05</v>
      </c>
      <c r="W238">
        <v>61.65</v>
      </c>
      <c r="X238">
        <v>1.7145999999999999</v>
      </c>
    </row>
    <row r="239" spans="1:24" x14ac:dyDescent="0.25">
      <c r="A239" s="11"/>
      <c r="B239" s="12"/>
      <c r="C239" s="18">
        <v>45988</v>
      </c>
      <c r="D239" s="9"/>
      <c r="E239" s="9"/>
      <c r="F239" s="9"/>
      <c r="G239" s="9"/>
      <c r="H239" s="9"/>
      <c r="I239" s="9"/>
      <c r="J239" s="9"/>
      <c r="K239" s="9">
        <v>4091</v>
      </c>
      <c r="L239" s="9"/>
      <c r="M239" s="9"/>
      <c r="N239" s="9"/>
      <c r="O239" s="9"/>
      <c r="P239" s="9"/>
      <c r="Q239" s="9">
        <v>470</v>
      </c>
      <c r="R239" s="9">
        <v>677.4</v>
      </c>
      <c r="S239" s="9"/>
      <c r="T239" s="9"/>
      <c r="U239" s="10">
        <v>619</v>
      </c>
      <c r="W239">
        <v>62.34</v>
      </c>
    </row>
    <row r="240" spans="1:24" x14ac:dyDescent="0.25">
      <c r="A240" s="8"/>
      <c r="B240" s="9"/>
      <c r="C240" s="18">
        <v>45987</v>
      </c>
      <c r="D240" s="9">
        <v>586.25</v>
      </c>
      <c r="E240" s="9">
        <v>586.25</v>
      </c>
      <c r="F240" s="9">
        <v>6.3224999999999998</v>
      </c>
      <c r="G240" s="9">
        <v>465.25</v>
      </c>
      <c r="H240" s="9">
        <v>1130.75</v>
      </c>
      <c r="I240" s="9">
        <v>339.9</v>
      </c>
      <c r="J240" s="9">
        <v>51.13</v>
      </c>
      <c r="K240" s="9">
        <v>4031</v>
      </c>
      <c r="L240" s="9"/>
      <c r="M240" s="9"/>
      <c r="N240" s="9"/>
      <c r="O240" s="9"/>
      <c r="P240" s="9"/>
      <c r="Q240" s="9">
        <v>467.75</v>
      </c>
      <c r="R240" s="9">
        <v>678.1</v>
      </c>
      <c r="S240" s="9">
        <v>1.6850000000000001</v>
      </c>
      <c r="T240" s="9">
        <v>2.1448</v>
      </c>
      <c r="U240" s="10">
        <v>611.25</v>
      </c>
      <c r="V240">
        <v>58.4</v>
      </c>
      <c r="W240">
        <v>62.04</v>
      </c>
      <c r="X240">
        <v>1.7233000000000001</v>
      </c>
    </row>
    <row r="241" spans="1:24" x14ac:dyDescent="0.25">
      <c r="A241" s="11"/>
      <c r="B241" s="12"/>
      <c r="C241" s="18">
        <v>45986</v>
      </c>
      <c r="D241" s="9">
        <v>583.5</v>
      </c>
      <c r="E241" s="9">
        <v>583.25</v>
      </c>
      <c r="F241" s="9">
        <v>6.3574999999999999</v>
      </c>
      <c r="G241" s="9">
        <v>461.75</v>
      </c>
      <c r="H241" s="9">
        <v>1128.25</v>
      </c>
      <c r="I241" s="9">
        <v>339.6</v>
      </c>
      <c r="J241" s="9">
        <v>50.78</v>
      </c>
      <c r="K241" s="9">
        <v>4001</v>
      </c>
      <c r="L241" s="9"/>
      <c r="M241" s="9"/>
      <c r="N241" s="9"/>
      <c r="O241" s="9"/>
      <c r="P241" s="9"/>
      <c r="Q241" s="9">
        <v>467.25</v>
      </c>
      <c r="R241" s="9">
        <v>677.5</v>
      </c>
      <c r="S241" s="9">
        <v>1.6875</v>
      </c>
      <c r="T241" s="9">
        <v>2.1364999999999998</v>
      </c>
      <c r="U241" s="10">
        <v>608.25</v>
      </c>
      <c r="V241">
        <v>57.86</v>
      </c>
      <c r="W241">
        <v>61.52</v>
      </c>
      <c r="X241">
        <v>1.7050000000000001</v>
      </c>
    </row>
    <row r="242" spans="1:24" x14ac:dyDescent="0.25">
      <c r="A242" s="8"/>
      <c r="B242" s="9"/>
      <c r="C242" s="18">
        <v>45985</v>
      </c>
      <c r="D242" s="9">
        <v>580</v>
      </c>
      <c r="E242" s="9">
        <v>579</v>
      </c>
      <c r="F242" s="9">
        <v>6.3150000000000004</v>
      </c>
      <c r="G242" s="9">
        <v>460</v>
      </c>
      <c r="H242" s="9">
        <v>1125.5</v>
      </c>
      <c r="I242" s="9">
        <v>337.7</v>
      </c>
      <c r="J242" s="9">
        <v>50.78</v>
      </c>
      <c r="K242" s="9">
        <v>4038</v>
      </c>
      <c r="L242" s="9"/>
      <c r="M242" s="9"/>
      <c r="N242" s="9"/>
      <c r="O242" s="9"/>
      <c r="P242" s="9"/>
      <c r="Q242" s="9">
        <v>465</v>
      </c>
      <c r="R242" s="9">
        <v>673.9</v>
      </c>
      <c r="S242" s="9">
        <v>1.6850000000000001</v>
      </c>
      <c r="T242" s="9">
        <v>2.1541000000000001</v>
      </c>
      <c r="U242" s="10">
        <v>615</v>
      </c>
      <c r="V242">
        <v>58.35</v>
      </c>
      <c r="W242">
        <v>62.04</v>
      </c>
      <c r="X242">
        <v>1.7101</v>
      </c>
    </row>
    <row r="243" spans="1:24" x14ac:dyDescent="0.25">
      <c r="A243" s="11"/>
      <c r="B243" s="12"/>
      <c r="C243" s="18">
        <v>45982</v>
      </c>
      <c r="D243" s="9">
        <v>584.5</v>
      </c>
      <c r="E243" s="9">
        <v>582.75</v>
      </c>
      <c r="F243" s="9">
        <v>6.31</v>
      </c>
      <c r="G243" s="9">
        <v>460</v>
      </c>
      <c r="H243" s="9">
        <v>1121.25</v>
      </c>
      <c r="I243" s="9">
        <v>336.1</v>
      </c>
      <c r="J243" s="9">
        <v>50.76</v>
      </c>
      <c r="K243" s="9">
        <v>4055</v>
      </c>
      <c r="L243" s="9"/>
      <c r="M243" s="9"/>
      <c r="N243" s="9"/>
      <c r="O243" s="9"/>
      <c r="P243" s="9"/>
      <c r="Q243" s="9">
        <v>465.25</v>
      </c>
      <c r="R243" s="9">
        <v>671.6</v>
      </c>
      <c r="S243" s="9">
        <v>1.6825000000000001</v>
      </c>
      <c r="T243" s="9">
        <v>2.1562000000000001</v>
      </c>
      <c r="U243" s="10">
        <v>616.75</v>
      </c>
      <c r="V243">
        <v>57.75</v>
      </c>
      <c r="W243">
        <v>61.44</v>
      </c>
      <c r="X243">
        <v>1.7018</v>
      </c>
    </row>
    <row r="244" spans="1:24" x14ac:dyDescent="0.25">
      <c r="A244" s="8"/>
      <c r="B244" s="9"/>
      <c r="C244" s="18">
        <v>45981</v>
      </c>
      <c r="D244" s="9">
        <v>586</v>
      </c>
      <c r="E244" s="9">
        <v>581.5</v>
      </c>
      <c r="F244" s="9">
        <v>6.3425000000000002</v>
      </c>
      <c r="G244" s="9">
        <v>461</v>
      </c>
      <c r="H244" s="9">
        <v>1123.25</v>
      </c>
      <c r="I244" s="9">
        <v>335.1</v>
      </c>
      <c r="J244" s="9">
        <v>51.12</v>
      </c>
      <c r="K244" s="9">
        <v>4121</v>
      </c>
      <c r="L244" s="9"/>
      <c r="M244" s="9"/>
      <c r="N244" s="9"/>
      <c r="O244" s="9"/>
      <c r="P244" s="9"/>
      <c r="Q244" s="9">
        <v>469</v>
      </c>
      <c r="R244" s="9">
        <v>672.5</v>
      </c>
      <c r="S244" s="9">
        <v>1.67</v>
      </c>
      <c r="T244" s="9">
        <v>2.1718000000000002</v>
      </c>
      <c r="U244" s="10">
        <v>624.5</v>
      </c>
      <c r="V244">
        <v>58.25</v>
      </c>
      <c r="W244">
        <v>61.9</v>
      </c>
      <c r="X244">
        <v>1.7155</v>
      </c>
    </row>
    <row r="245" spans="1:24" x14ac:dyDescent="0.25">
      <c r="A245" s="11"/>
      <c r="B245" s="12"/>
      <c r="C245" s="18">
        <v>45980</v>
      </c>
      <c r="D245" s="9">
        <v>594.5</v>
      </c>
      <c r="E245" s="9">
        <v>590.75</v>
      </c>
      <c r="F245" s="9">
        <v>6.3849999999999998</v>
      </c>
      <c r="G245" s="9">
        <v>462.75</v>
      </c>
      <c r="H245" s="9">
        <v>1128</v>
      </c>
      <c r="I245" s="9">
        <v>336.8</v>
      </c>
      <c r="J245" s="9">
        <v>51.56</v>
      </c>
      <c r="K245" s="9">
        <v>4176</v>
      </c>
      <c r="L245" s="9"/>
      <c r="M245" s="9"/>
      <c r="N245" s="9"/>
      <c r="O245" s="9"/>
      <c r="P245" s="9"/>
      <c r="Q245" s="9">
        <v>469</v>
      </c>
      <c r="R245" s="9">
        <v>672.3</v>
      </c>
      <c r="S245" s="9">
        <v>1.6525000000000001</v>
      </c>
      <c r="T245" s="9">
        <v>2.1911</v>
      </c>
      <c r="U245" s="10">
        <v>627.75</v>
      </c>
      <c r="V245">
        <v>58.44</v>
      </c>
      <c r="W245">
        <v>62.05</v>
      </c>
      <c r="X245">
        <v>1.7218</v>
      </c>
    </row>
    <row r="246" spans="1:24" x14ac:dyDescent="0.25">
      <c r="A246" s="8"/>
      <c r="B246" s="9"/>
      <c r="C246" s="18">
        <v>45979</v>
      </c>
      <c r="D246" s="9">
        <v>605.75</v>
      </c>
      <c r="E246" s="9">
        <v>601.5</v>
      </c>
      <c r="F246" s="9">
        <v>6.38</v>
      </c>
      <c r="G246" s="9">
        <v>469.25</v>
      </c>
      <c r="H246" s="9">
        <v>1135</v>
      </c>
      <c r="I246" s="9">
        <v>337.4</v>
      </c>
      <c r="J246" s="9">
        <v>52.53</v>
      </c>
      <c r="K246" s="9">
        <v>4142</v>
      </c>
      <c r="L246" s="9"/>
      <c r="M246" s="9"/>
      <c r="N246" s="9"/>
      <c r="O246" s="9"/>
      <c r="P246" s="9"/>
      <c r="Q246" s="9">
        <v>473</v>
      </c>
      <c r="R246" s="9">
        <v>676.2</v>
      </c>
      <c r="S246" s="9">
        <v>1.6675</v>
      </c>
      <c r="T246" s="9">
        <v>2.2372000000000001</v>
      </c>
      <c r="U246" s="10">
        <v>635.25</v>
      </c>
      <c r="V246">
        <v>59.74</v>
      </c>
      <c r="W246">
        <v>63.34</v>
      </c>
      <c r="X246">
        <v>1.7569999999999999</v>
      </c>
    </row>
    <row r="247" spans="1:24" x14ac:dyDescent="0.25">
      <c r="A247" s="11"/>
      <c r="B247" s="12"/>
      <c r="C247" s="18">
        <v>45978</v>
      </c>
      <c r="D247" s="9">
        <v>607</v>
      </c>
      <c r="E247" s="9">
        <v>602.25</v>
      </c>
      <c r="F247" s="9">
        <v>6.3574999999999999</v>
      </c>
      <c r="G247" s="9">
        <v>469.75</v>
      </c>
      <c r="H247" s="9">
        <v>1137</v>
      </c>
      <c r="I247" s="9">
        <v>341.6</v>
      </c>
      <c r="J247" s="9">
        <v>51.66</v>
      </c>
      <c r="K247" s="9">
        <v>4097</v>
      </c>
      <c r="L247" s="9"/>
      <c r="M247" s="9"/>
      <c r="N247" s="9"/>
      <c r="O247" s="9"/>
      <c r="P247" s="9"/>
      <c r="Q247" s="9">
        <v>473.25</v>
      </c>
      <c r="R247" s="9">
        <v>675.4</v>
      </c>
      <c r="S247" s="9">
        <v>1.6850000000000001</v>
      </c>
      <c r="T247" s="9">
        <v>2.2115</v>
      </c>
      <c r="U247" s="10">
        <v>634.75</v>
      </c>
      <c r="V247">
        <v>59.39</v>
      </c>
      <c r="W247">
        <v>62.98</v>
      </c>
      <c r="X247">
        <v>1.7496</v>
      </c>
    </row>
    <row r="248" spans="1:24" x14ac:dyDescent="0.25">
      <c r="A248" s="8"/>
      <c r="B248" s="9"/>
      <c r="C248" s="18">
        <v>45975</v>
      </c>
      <c r="D248" s="9">
        <v>592.75</v>
      </c>
      <c r="E248" s="9">
        <v>590</v>
      </c>
      <c r="F248" s="9">
        <v>6.3324999999999996</v>
      </c>
      <c r="G248" s="9">
        <v>467.25</v>
      </c>
      <c r="H248" s="9">
        <v>1124</v>
      </c>
      <c r="I248" s="9">
        <v>337.9</v>
      </c>
      <c r="J248" s="9">
        <v>50.88</v>
      </c>
      <c r="K248" s="9">
        <v>4097</v>
      </c>
      <c r="L248" s="9"/>
      <c r="M248" s="9"/>
      <c r="N248" s="9"/>
      <c r="O248" s="9"/>
      <c r="P248" s="9"/>
      <c r="Q248" s="9">
        <v>469</v>
      </c>
      <c r="R248" s="9">
        <v>671.2</v>
      </c>
      <c r="S248" s="9">
        <v>1.6950000000000001</v>
      </c>
      <c r="T248" s="9">
        <v>2.2141000000000002</v>
      </c>
      <c r="U248" s="10">
        <v>637.5</v>
      </c>
      <c r="V248">
        <v>59.45</v>
      </c>
      <c r="W248">
        <v>63.03</v>
      </c>
      <c r="X248">
        <v>1.7614000000000001</v>
      </c>
    </row>
    <row r="249" spans="1:24" x14ac:dyDescent="0.25">
      <c r="A249" s="11"/>
      <c r="B249" s="12"/>
      <c r="C249" s="18">
        <v>45974</v>
      </c>
      <c r="D249" s="9">
        <v>605.5</v>
      </c>
      <c r="E249" s="9">
        <v>602.25</v>
      </c>
      <c r="F249" s="9">
        <v>6.4</v>
      </c>
      <c r="G249" s="9">
        <v>473</v>
      </c>
      <c r="H249" s="9">
        <v>1129.75</v>
      </c>
      <c r="I249" s="9">
        <v>339.6</v>
      </c>
      <c r="J249" s="9">
        <v>50.92</v>
      </c>
      <c r="K249" s="9">
        <v>4109</v>
      </c>
      <c r="L249" s="9"/>
      <c r="M249" s="9"/>
      <c r="N249" s="9"/>
      <c r="O249" s="9"/>
      <c r="P249" s="9"/>
      <c r="Q249" s="9">
        <v>470.5</v>
      </c>
      <c r="R249" s="9">
        <v>674.7</v>
      </c>
      <c r="S249" s="9">
        <v>1.7124999999999999</v>
      </c>
      <c r="T249" s="9">
        <v>2.1905000000000001</v>
      </c>
      <c r="U249" s="10">
        <v>631</v>
      </c>
      <c r="V249">
        <v>58.68</v>
      </c>
      <c r="W249">
        <v>62.27</v>
      </c>
      <c r="X249">
        <v>1.74</v>
      </c>
    </row>
    <row r="250" spans="1:24" x14ac:dyDescent="0.25">
      <c r="A250" s="8"/>
      <c r="B250" s="9"/>
      <c r="C250" s="18">
        <v>45973</v>
      </c>
      <c r="D250" s="9">
        <v>605.25</v>
      </c>
      <c r="E250" s="9">
        <v>601.25</v>
      </c>
      <c r="F250" s="9">
        <v>6.43</v>
      </c>
      <c r="G250" s="9">
        <v>470</v>
      </c>
      <c r="H250" s="9">
        <v>1124.25</v>
      </c>
      <c r="I250" s="9">
        <v>335</v>
      </c>
      <c r="J250" s="9">
        <v>51.23</v>
      </c>
      <c r="K250" s="9">
        <v>4103</v>
      </c>
      <c r="L250" s="9"/>
      <c r="M250" s="9"/>
      <c r="N250" s="9"/>
      <c r="O250" s="9"/>
      <c r="P250" s="9"/>
      <c r="Q250" s="9">
        <v>468.75</v>
      </c>
      <c r="R250" s="9">
        <v>675.5</v>
      </c>
      <c r="S250" s="9">
        <v>1.7075</v>
      </c>
      <c r="T250" s="9">
        <v>2.2008000000000001</v>
      </c>
      <c r="U250" s="10">
        <v>631.5</v>
      </c>
      <c r="V250">
        <v>58.71</v>
      </c>
      <c r="W250">
        <v>62.27</v>
      </c>
      <c r="X250">
        <v>1.7454000000000001</v>
      </c>
    </row>
    <row r="251" spans="1:24" x14ac:dyDescent="0.25">
      <c r="A251" s="11"/>
      <c r="B251" s="12"/>
      <c r="C251" s="18">
        <v>45972</v>
      </c>
      <c r="D251" s="9">
        <v>602.25</v>
      </c>
      <c r="E251" s="9">
        <v>598.25</v>
      </c>
      <c r="F251" s="9">
        <v>6.4074999999999998</v>
      </c>
      <c r="G251" s="9">
        <v>470</v>
      </c>
      <c r="H251" s="9">
        <v>1120.75</v>
      </c>
      <c r="I251" s="9">
        <v>330.7</v>
      </c>
      <c r="J251" s="9">
        <v>51.61</v>
      </c>
      <c r="K251" s="9">
        <v>4121</v>
      </c>
      <c r="L251" s="9"/>
      <c r="M251" s="9"/>
      <c r="N251" s="9"/>
      <c r="O251" s="9"/>
      <c r="P251" s="9"/>
      <c r="Q251" s="9">
        <v>470.5</v>
      </c>
      <c r="R251" s="9"/>
      <c r="S251" s="9">
        <v>1.7075</v>
      </c>
      <c r="T251" s="9">
        <v>2.2507999999999999</v>
      </c>
      <c r="U251" s="10">
        <v>644.25</v>
      </c>
      <c r="V251">
        <v>60.69</v>
      </c>
      <c r="W251">
        <v>64.22</v>
      </c>
      <c r="X251">
        <v>1.7909999999999999</v>
      </c>
    </row>
    <row r="252" spans="1:24" x14ac:dyDescent="0.25">
      <c r="A252" s="5"/>
      <c r="B252" s="6"/>
      <c r="C252" s="18">
        <v>45971</v>
      </c>
      <c r="D252" s="9">
        <v>598</v>
      </c>
      <c r="E252" s="9">
        <v>595.5</v>
      </c>
      <c r="F252" s="9">
        <v>6.375</v>
      </c>
      <c r="G252" s="9">
        <v>467.75</v>
      </c>
      <c r="H252" s="9">
        <v>1119.5</v>
      </c>
      <c r="I252" s="9">
        <v>332.6</v>
      </c>
      <c r="J252" s="9">
        <v>51.18</v>
      </c>
      <c r="K252" s="9">
        <v>4110</v>
      </c>
      <c r="L252" s="9"/>
      <c r="M252" s="9"/>
      <c r="N252" s="9"/>
      <c r="O252" s="9"/>
      <c r="P252" s="9"/>
      <c r="Q252" s="9">
        <v>470.25</v>
      </c>
      <c r="R252" s="9">
        <v>676.1</v>
      </c>
      <c r="S252" s="9">
        <v>1.7</v>
      </c>
      <c r="T252" s="9">
        <v>2.2229000000000001</v>
      </c>
      <c r="U252" s="10">
        <v>633.25</v>
      </c>
      <c r="V252">
        <v>59.99</v>
      </c>
      <c r="W252">
        <v>63.54</v>
      </c>
      <c r="X252">
        <v>1.7679</v>
      </c>
    </row>
    <row r="253" spans="1:24" x14ac:dyDescent="0.25">
      <c r="C253" s="18">
        <v>45968</v>
      </c>
      <c r="D253" s="9">
        <v>589.75</v>
      </c>
      <c r="E253" s="9">
        <v>586.5</v>
      </c>
      <c r="F253" s="9">
        <v>6.31</v>
      </c>
      <c r="G253" s="9">
        <v>464</v>
      </c>
      <c r="H253" s="9">
        <v>1110</v>
      </c>
      <c r="I253" s="9">
        <v>332</v>
      </c>
      <c r="J253" s="9">
        <v>50.26</v>
      </c>
      <c r="K253" s="9">
        <v>4122</v>
      </c>
      <c r="L253" s="9"/>
      <c r="M253" s="9"/>
      <c r="N253" s="9"/>
      <c r="O253" s="9"/>
      <c r="P253" s="9"/>
      <c r="Q253" s="9">
        <v>470.5</v>
      </c>
      <c r="R253" s="9">
        <v>673.3</v>
      </c>
      <c r="S253" s="9">
        <v>1.6924999999999999</v>
      </c>
      <c r="T253" s="9">
        <v>2.2121</v>
      </c>
      <c r="U253" s="10">
        <v>634.5</v>
      </c>
      <c r="V253">
        <v>59.77</v>
      </c>
      <c r="W253">
        <v>63.31</v>
      </c>
      <c r="X253">
        <v>1.7599</v>
      </c>
    </row>
    <row r="254" spans="1:24" x14ac:dyDescent="0.25">
      <c r="C254" s="19">
        <v>45967</v>
      </c>
      <c r="D254" s="6">
        <v>596.5</v>
      </c>
      <c r="E254" s="6">
        <v>591.75</v>
      </c>
      <c r="F254" s="6">
        <v>6.3049999999999997</v>
      </c>
      <c r="G254" s="6">
        <v>465</v>
      </c>
      <c r="H254" s="6">
        <v>1105.75</v>
      </c>
      <c r="I254" s="6">
        <v>331.3</v>
      </c>
      <c r="J254" s="6">
        <v>49.82</v>
      </c>
      <c r="K254" s="6">
        <v>4159</v>
      </c>
      <c r="L254" s="6"/>
      <c r="M254" s="6"/>
      <c r="N254" s="6"/>
      <c r="O254" s="6"/>
      <c r="P254" s="6"/>
      <c r="Q254" s="6">
        <v>466.25</v>
      </c>
      <c r="R254" s="6">
        <v>668.1</v>
      </c>
      <c r="S254" s="6">
        <v>1.7</v>
      </c>
      <c r="T254" s="6">
        <v>2.2061000000000002</v>
      </c>
      <c r="U254" s="7">
        <v>632.75</v>
      </c>
      <c r="V254">
        <v>59.49</v>
      </c>
      <c r="W254">
        <v>63.03</v>
      </c>
      <c r="X254">
        <v>1.7509999999999999</v>
      </c>
    </row>
    <row r="255" spans="1:24" x14ac:dyDescent="0.25">
      <c r="C255" s="2">
        <v>45966</v>
      </c>
      <c r="D255">
        <v>610.5</v>
      </c>
      <c r="E255">
        <v>605</v>
      </c>
      <c r="F255">
        <v>6.3274999999999997</v>
      </c>
      <c r="G255">
        <v>468.75</v>
      </c>
      <c r="H255">
        <v>1120.5</v>
      </c>
      <c r="I255">
        <v>335.6</v>
      </c>
      <c r="J255">
        <v>50.12</v>
      </c>
      <c r="K255">
        <v>4134</v>
      </c>
      <c r="Q255">
        <v>469.5</v>
      </c>
      <c r="R255">
        <v>670.6</v>
      </c>
      <c r="S255">
        <v>1.71</v>
      </c>
      <c r="T255">
        <v>2.1947000000000001</v>
      </c>
      <c r="U255">
        <v>638</v>
      </c>
      <c r="V255">
        <v>59.57</v>
      </c>
      <c r="W255">
        <v>63.24</v>
      </c>
      <c r="X255">
        <v>1.7526999999999999</v>
      </c>
    </row>
    <row r="256" spans="1:24" x14ac:dyDescent="0.25">
      <c r="C256" s="2">
        <v>45965</v>
      </c>
      <c r="D256">
        <v>608.75</v>
      </c>
      <c r="E256">
        <v>601.5</v>
      </c>
      <c r="F256">
        <v>6.3449999999999998</v>
      </c>
      <c r="G256">
        <v>465.75</v>
      </c>
      <c r="H256">
        <v>1112.25</v>
      </c>
      <c r="I256">
        <v>330.4</v>
      </c>
      <c r="J256">
        <v>50.12</v>
      </c>
      <c r="K256">
        <v>4148</v>
      </c>
      <c r="Q256">
        <v>468.75</v>
      </c>
      <c r="R256">
        <v>671.6</v>
      </c>
      <c r="S256">
        <v>1.7050000000000001</v>
      </c>
      <c r="T256">
        <v>2.2176</v>
      </c>
      <c r="U256">
        <v>637.25</v>
      </c>
      <c r="V256">
        <v>60.15</v>
      </c>
      <c r="W256">
        <v>63.84</v>
      </c>
      <c r="X256">
        <v>1.7664</v>
      </c>
    </row>
    <row r="257" spans="3:24" x14ac:dyDescent="0.25">
      <c r="C257" s="2">
        <v>45964</v>
      </c>
      <c r="D257">
        <v>607</v>
      </c>
      <c r="E257">
        <v>602.5</v>
      </c>
      <c r="F257">
        <v>6.3775000000000004</v>
      </c>
      <c r="G257">
        <v>467.75</v>
      </c>
      <c r="H257">
        <v>1122.25</v>
      </c>
      <c r="I257">
        <v>335</v>
      </c>
      <c r="J257">
        <v>50.36</v>
      </c>
      <c r="K257">
        <v>4112</v>
      </c>
      <c r="Q257">
        <v>468.25</v>
      </c>
      <c r="R257">
        <v>677.9</v>
      </c>
      <c r="S257">
        <v>1.7075</v>
      </c>
      <c r="T257">
        <v>2.2105999999999999</v>
      </c>
      <c r="U257">
        <v>639.25</v>
      </c>
      <c r="V257">
        <v>60.32</v>
      </c>
      <c r="W257">
        <v>63.99</v>
      </c>
      <c r="X257">
        <v>1.7674000000000001</v>
      </c>
    </row>
    <row r="258" spans="3:24" x14ac:dyDescent="0.25">
      <c r="C258" s="2">
        <v>45961</v>
      </c>
      <c r="D258">
        <v>597</v>
      </c>
      <c r="E258">
        <v>589.5</v>
      </c>
      <c r="F258">
        <v>6.35</v>
      </c>
      <c r="G258">
        <v>463.5</v>
      </c>
      <c r="H258">
        <v>1114.5</v>
      </c>
      <c r="I258">
        <v>335</v>
      </c>
      <c r="J258">
        <v>49.29</v>
      </c>
      <c r="K258">
        <v>4134</v>
      </c>
      <c r="Q258">
        <v>469.5</v>
      </c>
      <c r="R258">
        <v>668.5</v>
      </c>
      <c r="S258">
        <v>1.7075</v>
      </c>
      <c r="T258">
        <v>2.2040999999999999</v>
      </c>
      <c r="U258">
        <v>632</v>
      </c>
      <c r="V258">
        <v>60.05</v>
      </c>
      <c r="W258">
        <v>63.74</v>
      </c>
      <c r="X258">
        <v>1.7599</v>
      </c>
    </row>
    <row r="259" spans="3:24" x14ac:dyDescent="0.25">
      <c r="C259" s="2">
        <v>45960</v>
      </c>
      <c r="D259">
        <v>595.5</v>
      </c>
      <c r="E259">
        <v>589</v>
      </c>
      <c r="F259">
        <v>6.33</v>
      </c>
      <c r="G259">
        <v>464.5</v>
      </c>
      <c r="H259">
        <v>1105</v>
      </c>
      <c r="I259">
        <v>329.6</v>
      </c>
      <c r="J259">
        <v>50.01</v>
      </c>
      <c r="K259">
        <v>4162</v>
      </c>
      <c r="Q259">
        <v>472</v>
      </c>
      <c r="R259">
        <v>678</v>
      </c>
      <c r="S259">
        <v>1.7175</v>
      </c>
      <c r="T259">
        <v>2.2092000000000001</v>
      </c>
      <c r="U259">
        <v>633.75</v>
      </c>
      <c r="V259">
        <v>60.03</v>
      </c>
      <c r="W259">
        <v>63.77</v>
      </c>
      <c r="X259">
        <v>1.7642</v>
      </c>
    </row>
    <row r="260" spans="3:24" x14ac:dyDescent="0.25">
      <c r="C260" s="2">
        <v>45959</v>
      </c>
      <c r="D260">
        <v>597.5</v>
      </c>
      <c r="E260">
        <v>596.25</v>
      </c>
      <c r="F260">
        <v>6.3975</v>
      </c>
      <c r="G260">
        <v>464.75</v>
      </c>
      <c r="H260">
        <v>1108</v>
      </c>
      <c r="I260">
        <v>326.39999999999998</v>
      </c>
      <c r="J260">
        <v>50.28</v>
      </c>
      <c r="K260">
        <v>4153</v>
      </c>
      <c r="Q260">
        <v>469.5</v>
      </c>
      <c r="R260">
        <v>675.7</v>
      </c>
      <c r="S260">
        <v>1.7024999999999999</v>
      </c>
      <c r="T260">
        <v>2.2052999999999998</v>
      </c>
      <c r="U260">
        <v>633.5</v>
      </c>
      <c r="V260">
        <v>60.01</v>
      </c>
      <c r="W260">
        <v>63.76</v>
      </c>
      <c r="X260">
        <v>1.7638</v>
      </c>
    </row>
    <row r="261" spans="3:24" x14ac:dyDescent="0.25">
      <c r="C261" s="2">
        <v>45958</v>
      </c>
      <c r="D261">
        <v>600.25</v>
      </c>
      <c r="E261">
        <v>599.5</v>
      </c>
      <c r="F261">
        <v>6.45</v>
      </c>
      <c r="G261">
        <v>466.5</v>
      </c>
      <c r="H261">
        <v>1112.75</v>
      </c>
      <c r="I261">
        <v>325.10000000000002</v>
      </c>
      <c r="J261">
        <v>50.48</v>
      </c>
      <c r="K261">
        <v>4210</v>
      </c>
      <c r="Q261">
        <v>470.75</v>
      </c>
      <c r="R261">
        <v>676.9</v>
      </c>
      <c r="S261">
        <v>1.7075</v>
      </c>
      <c r="T261">
        <v>2.1886000000000001</v>
      </c>
      <c r="U261">
        <v>628.75</v>
      </c>
      <c r="V261">
        <v>59.69</v>
      </c>
      <c r="W261">
        <v>63.44</v>
      </c>
      <c r="X261">
        <v>1.7544999999999999</v>
      </c>
    </row>
    <row r="262" spans="3:24" x14ac:dyDescent="0.25">
      <c r="C262" s="2">
        <v>45957</v>
      </c>
      <c r="D262">
        <v>595</v>
      </c>
      <c r="E262">
        <v>592.75</v>
      </c>
      <c r="F262">
        <v>6.4325000000000001</v>
      </c>
      <c r="G262">
        <v>466</v>
      </c>
      <c r="H262">
        <v>1104</v>
      </c>
      <c r="I262">
        <v>318.10000000000002</v>
      </c>
      <c r="J262">
        <v>50.96</v>
      </c>
      <c r="K262">
        <v>4243</v>
      </c>
      <c r="Q262">
        <v>472</v>
      </c>
      <c r="R262">
        <v>671.9</v>
      </c>
      <c r="S262">
        <v>1.6950000000000001</v>
      </c>
      <c r="T262">
        <v>2.2075999999999998</v>
      </c>
      <c r="U262">
        <v>636.25</v>
      </c>
      <c r="V262">
        <v>59.91</v>
      </c>
      <c r="W262">
        <v>63.65</v>
      </c>
      <c r="X262">
        <v>1.7630999999999999</v>
      </c>
    </row>
    <row r="263" spans="3:24" x14ac:dyDescent="0.25">
      <c r="C263" s="2">
        <v>45954</v>
      </c>
      <c r="D263">
        <v>580.5</v>
      </c>
      <c r="E263">
        <v>577.75</v>
      </c>
      <c r="F263">
        <v>6.37</v>
      </c>
      <c r="G263">
        <v>459.5</v>
      </c>
      <c r="H263">
        <v>1090.75</v>
      </c>
      <c r="I263">
        <v>311.7</v>
      </c>
      <c r="J263">
        <v>50.43</v>
      </c>
      <c r="K263">
        <v>4288</v>
      </c>
      <c r="Q263">
        <v>470</v>
      </c>
      <c r="R263">
        <v>674.9</v>
      </c>
      <c r="S263">
        <v>1.68</v>
      </c>
      <c r="T263">
        <v>2.2081</v>
      </c>
      <c r="U263">
        <v>636</v>
      </c>
      <c r="V263">
        <v>59.85</v>
      </c>
      <c r="W263">
        <v>63.61</v>
      </c>
      <c r="X263">
        <v>1.7576000000000001</v>
      </c>
    </row>
    <row r="264" spans="3:24" x14ac:dyDescent="0.25">
      <c r="C264" s="2">
        <v>45953</v>
      </c>
      <c r="D264">
        <v>580</v>
      </c>
      <c r="E264">
        <v>576.5</v>
      </c>
      <c r="F264">
        <v>6.3949999999999996</v>
      </c>
      <c r="G264">
        <v>461</v>
      </c>
      <c r="H264">
        <v>1090.5</v>
      </c>
      <c r="I264">
        <v>307.7</v>
      </c>
      <c r="J264">
        <v>50.89</v>
      </c>
      <c r="K264">
        <v>4325</v>
      </c>
      <c r="Q264">
        <v>472.5</v>
      </c>
      <c r="R264">
        <v>675.9</v>
      </c>
      <c r="S264">
        <v>1.69</v>
      </c>
      <c r="T264">
        <v>2.2031000000000001</v>
      </c>
      <c r="U264">
        <v>633.25</v>
      </c>
      <c r="V264">
        <v>59.76</v>
      </c>
      <c r="W264">
        <v>63.54</v>
      </c>
      <c r="X264">
        <v>1.7601</v>
      </c>
    </row>
  </sheetData>
  <phoneticPr fontId="4" type="noConversion"/>
  <pageMargins left="0.7" right="0.7" top="0.75" bottom="0.75" header="0.3" footer="0.3"/>
  <customProperties>
    <customPr name="REFI_OFFICE_FUNCTION_DATA" r:id="rId1"/>
  </customProperties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62133-7195-41A1-8AFA-D22716A45247}">
  <sheetPr codeName="Sheet4"/>
  <dimension ref="A1:BZ261"/>
  <sheetViews>
    <sheetView topLeftCell="AM1" zoomScale="85" zoomScaleNormal="85" workbookViewId="0">
      <selection activeCell="BB40" sqref="BB40"/>
    </sheetView>
  </sheetViews>
  <sheetFormatPr defaultRowHeight="15" x14ac:dyDescent="0.25"/>
  <cols>
    <col min="1" max="1" width="9.5703125" bestFit="1" customWidth="1"/>
    <col min="2" max="2" width="10.7109375" bestFit="1" customWidth="1"/>
    <col min="3" max="3" width="12.42578125" bestFit="1" customWidth="1"/>
    <col min="4" max="4" width="8.5703125" bestFit="1" customWidth="1"/>
    <col min="5" max="5" width="8.42578125" bestFit="1" customWidth="1"/>
    <col min="6" max="6" width="10.42578125" bestFit="1" customWidth="1"/>
    <col min="7" max="7" width="10.28515625" bestFit="1" customWidth="1"/>
    <col min="8" max="8" width="12" bestFit="1" customWidth="1"/>
    <col min="9" max="9" width="9.85546875" bestFit="1" customWidth="1"/>
    <col min="10" max="10" width="10.5703125" bestFit="1" customWidth="1"/>
    <col min="11" max="11" width="9.85546875" bestFit="1" customWidth="1"/>
    <col min="12" max="12" width="11.42578125" bestFit="1" customWidth="1"/>
    <col min="13" max="13" width="9.42578125" bestFit="1" customWidth="1"/>
    <col min="14" max="14" width="11.140625" bestFit="1" customWidth="1"/>
    <col min="15" max="15" width="8.5703125" bestFit="1" customWidth="1"/>
    <col min="16" max="16" width="11.28515625" bestFit="1" customWidth="1"/>
    <col min="17" max="18" width="10.28515625" bestFit="1" customWidth="1"/>
    <col min="19" max="19" width="9.42578125" bestFit="1" customWidth="1"/>
    <col min="20" max="20" width="9.5703125" bestFit="1" customWidth="1"/>
    <col min="21" max="21" width="10.28515625" bestFit="1" customWidth="1"/>
    <col min="22" max="22" width="13" bestFit="1" customWidth="1"/>
    <col min="23" max="23" width="12.42578125" bestFit="1" customWidth="1"/>
    <col min="29" max="30" width="9.28515625" bestFit="1" customWidth="1"/>
    <col min="31" max="31" width="9.28515625" customWidth="1"/>
    <col min="32" max="32" width="10.7109375" bestFit="1" customWidth="1"/>
    <col min="33" max="33" width="10.85546875" bestFit="1" customWidth="1"/>
    <col min="34" max="34" width="10.7109375" customWidth="1"/>
    <col min="35" max="35" width="9.28515625" bestFit="1" customWidth="1"/>
    <col min="36" max="36" width="9.42578125" bestFit="1" customWidth="1"/>
    <col min="37" max="37" width="9.42578125" style="26" bestFit="1" customWidth="1"/>
    <col min="38" max="39" width="9" style="26" bestFit="1" customWidth="1"/>
    <col min="40" max="40" width="9" style="26" customWidth="1"/>
    <col min="41" max="41" width="9.42578125" style="26" bestFit="1" customWidth="1"/>
    <col min="42" max="45" width="8.85546875" style="26"/>
    <col min="46" max="46" width="9.28515625" style="26" bestFit="1" customWidth="1"/>
    <col min="47" max="48" width="8.85546875" style="26"/>
    <col min="49" max="49" width="17.7109375" style="26" bestFit="1" customWidth="1"/>
    <col min="50" max="57" width="10.7109375" style="26" customWidth="1"/>
    <col min="58" max="59" width="10.140625" style="26" customWidth="1"/>
    <col min="60" max="60" width="8.85546875" style="26"/>
    <col min="61" max="61" width="9.28515625" style="26" bestFit="1" customWidth="1"/>
    <col min="62" max="67" width="8.85546875" style="26"/>
  </cols>
  <sheetData>
    <row r="1" spans="1:78" x14ac:dyDescent="0.25">
      <c r="A1" t="s">
        <v>355</v>
      </c>
      <c r="B1" t="s">
        <v>356</v>
      </c>
      <c r="C1" t="s">
        <v>357</v>
      </c>
      <c r="D1" t="s">
        <v>358</v>
      </c>
      <c r="E1" t="s">
        <v>9</v>
      </c>
      <c r="F1" t="s">
        <v>359</v>
      </c>
      <c r="G1" t="s">
        <v>360</v>
      </c>
      <c r="H1" t="s">
        <v>20</v>
      </c>
      <c r="I1" t="s">
        <v>369</v>
      </c>
      <c r="J1" t="s">
        <v>86</v>
      </c>
      <c r="K1" t="s">
        <v>88</v>
      </c>
      <c r="L1" t="s">
        <v>90</v>
      </c>
      <c r="M1" t="s">
        <v>92</v>
      </c>
      <c r="N1" t="s">
        <v>361</v>
      </c>
      <c r="O1" t="s">
        <v>101</v>
      </c>
      <c r="P1" t="s">
        <v>108</v>
      </c>
      <c r="Q1" t="s">
        <v>362</v>
      </c>
      <c r="R1" t="s">
        <v>161</v>
      </c>
      <c r="S1" t="s">
        <v>225</v>
      </c>
      <c r="T1" t="s">
        <v>542</v>
      </c>
      <c r="U1" t="s">
        <v>479</v>
      </c>
      <c r="AD1" s="54">
        <v>60</v>
      </c>
      <c r="AE1" t="e" cm="1" vm="1">
        <f t="array" ref="AE1">_xlfn._xlws.PY(0,1,VaR[#All])</f>
        <v>#VALUE!</v>
      </c>
      <c r="AF1" t="s">
        <v>363</v>
      </c>
      <c r="AI1" s="26"/>
      <c r="AJ1" s="26"/>
      <c r="AU1" s="49" t="str">
        <f>"n="&amp;AD1</f>
        <v>n=60</v>
      </c>
      <c r="AV1" s="50"/>
      <c r="AW1" s="50"/>
      <c r="AX1" s="50"/>
      <c r="AY1" s="29" t="s">
        <v>371</v>
      </c>
      <c r="AZ1" s="30"/>
      <c r="BA1" s="35" t="s">
        <v>370</v>
      </c>
      <c r="BB1" s="30"/>
      <c r="BC1" s="29" t="s">
        <v>364</v>
      </c>
      <c r="BD1" s="30"/>
      <c r="BH1" s="26" t="e" cm="1" vm="2">
        <f t="array" ref="BH1">_xlfn._xlws.PY(1,1)</f>
        <v>#VALUE!</v>
      </c>
      <c r="BN1"/>
      <c r="BO1"/>
    </row>
    <row r="2" spans="1:78" x14ac:dyDescent="0.25">
      <c r="A2">
        <v>660.5</v>
      </c>
      <c r="B2">
        <v>704</v>
      </c>
      <c r="C2">
        <v>6.7649999999999997</v>
      </c>
      <c r="D2">
        <v>474.25</v>
      </c>
      <c r="E2">
        <v>1261.25</v>
      </c>
      <c r="F2">
        <v>357.1</v>
      </c>
      <c r="G2">
        <v>67.13</v>
      </c>
      <c r="H2">
        <v>4676</v>
      </c>
      <c r="I2">
        <v>9418</v>
      </c>
      <c r="J2">
        <v>3299</v>
      </c>
      <c r="K2">
        <v>8834</v>
      </c>
      <c r="L2">
        <v>2345</v>
      </c>
      <c r="M2">
        <v>10311</v>
      </c>
      <c r="N2">
        <v>552</v>
      </c>
      <c r="O2">
        <v>811.6</v>
      </c>
      <c r="P2">
        <v>2.1</v>
      </c>
      <c r="Q2">
        <v>4.7232000000000003</v>
      </c>
      <c r="R2">
        <v>1369.5</v>
      </c>
      <c r="S2">
        <v>99.02</v>
      </c>
      <c r="T2">
        <v>106.82</v>
      </c>
      <c r="U2">
        <v>3.1442999999999999</v>
      </c>
      <c r="AE2" t="str" cm="1">
        <f t="array" ref="AE2:AK23">_xlfn._xlws.PY(2,0,AD1)</f>
        <v/>
      </c>
      <c r="AF2" t="str">
        <v>mean</v>
      </c>
      <c r="AG2" t="str">
        <v>stdev</v>
      </c>
      <c r="AH2" s="55" t="str">
        <v>p1</v>
      </c>
      <c r="AI2" s="55" t="str">
        <v>p5</v>
      </c>
      <c r="AJ2" s="55" t="str">
        <v>p95</v>
      </c>
      <c r="AK2" s="55" t="str">
        <v>p99</v>
      </c>
      <c r="AL2" s="24"/>
      <c r="AM2" t="str" cm="1">
        <f t="array" ref="AM2:AS23">_xlfn._xlws.PY(3,0,AD1)</f>
        <v/>
      </c>
      <c r="AN2" s="24" t="str">
        <v>mean</v>
      </c>
      <c r="AO2" s="25" t="str">
        <v>stdev</v>
      </c>
      <c r="AP2" s="25" t="str">
        <v>p1</v>
      </c>
      <c r="AQ2" s="25" t="str">
        <v>p5</v>
      </c>
      <c r="AR2" s="25" t="str">
        <v>p95</v>
      </c>
      <c r="AS2" s="26" t="str">
        <v>p99</v>
      </c>
      <c r="AU2" s="42" t="s">
        <v>397</v>
      </c>
      <c r="AV2" s="43" t="s">
        <v>398</v>
      </c>
      <c r="AW2" s="44" t="s">
        <v>393</v>
      </c>
      <c r="AX2" s="44" t="s">
        <v>394</v>
      </c>
      <c r="AY2" s="45" t="s">
        <v>395</v>
      </c>
      <c r="AZ2" s="46" t="s">
        <v>396</v>
      </c>
      <c r="BA2" s="45" t="s">
        <v>395</v>
      </c>
      <c r="BB2" s="46" t="s">
        <v>396</v>
      </c>
      <c r="BC2" s="45" t="s">
        <v>395</v>
      </c>
      <c r="BD2" s="46" t="s">
        <v>396</v>
      </c>
      <c r="BE2" s="47"/>
      <c r="BF2" s="28" t="s">
        <v>365</v>
      </c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</row>
    <row r="3" spans="1:78" x14ac:dyDescent="0.25">
      <c r="A3">
        <v>670</v>
      </c>
      <c r="B3">
        <v>713</v>
      </c>
      <c r="C3">
        <v>6.86</v>
      </c>
      <c r="D3">
        <v>478</v>
      </c>
      <c r="E3">
        <v>1263</v>
      </c>
      <c r="F3">
        <v>359.8</v>
      </c>
      <c r="G3">
        <v>67.150000000000006</v>
      </c>
      <c r="H3">
        <v>4619</v>
      </c>
      <c r="I3">
        <v>9566</v>
      </c>
      <c r="J3">
        <v>3340</v>
      </c>
      <c r="K3">
        <v>8921</v>
      </c>
      <c r="L3">
        <v>2370</v>
      </c>
      <c r="M3">
        <v>10318</v>
      </c>
      <c r="N3">
        <v>554.75</v>
      </c>
      <c r="O3">
        <v>813.7</v>
      </c>
      <c r="P3">
        <v>2.0950000000000002</v>
      </c>
      <c r="Q3">
        <v>4.6544999999999996</v>
      </c>
      <c r="R3">
        <v>1386.75</v>
      </c>
      <c r="S3">
        <v>96.5</v>
      </c>
      <c r="T3">
        <v>103.17</v>
      </c>
      <c r="U3">
        <v>3.0798000000000001</v>
      </c>
      <c r="AE3" t="str">
        <v>/WZ25</v>
      </c>
      <c r="AF3" s="25">
        <v>-1.2541666666666667</v>
      </c>
      <c r="AG3" s="25">
        <v>12.746675510968378</v>
      </c>
      <c r="AH3" s="25">
        <v>-30.90736814217582</v>
      </c>
      <c r="AI3" s="25">
        <v>-22.220582113075082</v>
      </c>
      <c r="AJ3" s="25">
        <v>19.712248779741749</v>
      </c>
      <c r="AK3" s="25">
        <v>28.399034808842487</v>
      </c>
      <c r="AL3" s="25"/>
      <c r="AM3" s="24" t="str">
        <v>/WZ25</v>
      </c>
      <c r="AN3" s="24">
        <v>-1.632542594516014E-3</v>
      </c>
      <c r="AO3" s="24">
        <v>1.8083156348321808E-2</v>
      </c>
      <c r="AP3" s="24">
        <v>-4.3700254920644055E-2</v>
      </c>
      <c r="AQ3" s="24">
        <v>-3.1376687901661218E-2</v>
      </c>
      <c r="AR3" s="24">
        <v>2.8111602712629188E-2</v>
      </c>
      <c r="AS3" s="24">
        <v>4.0435169731612028E-2</v>
      </c>
      <c r="AT3" s="24"/>
      <c r="AU3" s="51" t="s">
        <v>407</v>
      </c>
      <c r="AV3" s="52" t="s">
        <v>372</v>
      </c>
      <c r="AW3" s="52">
        <f>AN3</f>
        <v>-1.632542594516014E-3</v>
      </c>
      <c r="AX3" s="53">
        <f>AO3</f>
        <v>1.8083156348321808E-2</v>
      </c>
      <c r="AY3" s="51">
        <f>AVERAGE(ABS(AQ3),AR3)</f>
        <v>2.9744145307145205E-2</v>
      </c>
      <c r="AZ3" s="53">
        <f>AVERAGE(ABS(AP3),AS3)</f>
        <v>4.2067712326128041E-2</v>
      </c>
      <c r="BA3" s="49">
        <f t="shared" ref="BA3:BA7" si="0">AVERAGE(ABS(AI3),AJ3)</f>
        <v>20.966415446408416</v>
      </c>
      <c r="BB3" s="30">
        <f t="shared" ref="BB3:BB7" si="1">AVERAGE(ABS(AH3),AK3)</f>
        <v>29.653201475509153</v>
      </c>
      <c r="BC3" s="49">
        <f>BA3*BF3</f>
        <v>7.7030610350104523</v>
      </c>
      <c r="BD3" s="30">
        <f>BB3*BF3</f>
        <v>10.894586222102063</v>
      </c>
      <c r="BF3" s="27">
        <v>0.3674</v>
      </c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</row>
    <row r="4" spans="1:78" x14ac:dyDescent="0.25">
      <c r="A4">
        <v>673.25</v>
      </c>
      <c r="B4">
        <v>715</v>
      </c>
      <c r="C4">
        <v>6.9</v>
      </c>
      <c r="D4">
        <v>480.75</v>
      </c>
      <c r="E4">
        <v>1277.25</v>
      </c>
      <c r="F4">
        <v>364.5</v>
      </c>
      <c r="G4">
        <v>67.06</v>
      </c>
      <c r="H4">
        <v>4700</v>
      </c>
      <c r="I4">
        <v>9741</v>
      </c>
      <c r="J4">
        <v>3373</v>
      </c>
      <c r="K4">
        <v>9033</v>
      </c>
      <c r="L4">
        <v>2393</v>
      </c>
      <c r="M4">
        <v>10459</v>
      </c>
      <c r="N4">
        <v>559.25</v>
      </c>
      <c r="O4">
        <v>824.6</v>
      </c>
      <c r="P4">
        <v>2.0750000000000002</v>
      </c>
      <c r="Q4">
        <v>4.7507999999999999</v>
      </c>
      <c r="R4">
        <v>1404</v>
      </c>
      <c r="S4">
        <v>93.9</v>
      </c>
      <c r="T4">
        <v>103.4</v>
      </c>
      <c r="U4">
        <v>3.1419999999999999</v>
      </c>
      <c r="AE4" t="str">
        <v>/KWZ25</v>
      </c>
      <c r="AF4" s="25">
        <v>-1.5291666666666666</v>
      </c>
      <c r="AG4" s="25">
        <v>12.664936554829366</v>
      </c>
      <c r="AH4" s="25">
        <v>-30.992214895338844</v>
      </c>
      <c r="AI4" s="25">
        <v>-22.361133494602633</v>
      </c>
      <c r="AJ4" s="25">
        <v>19.302800161269303</v>
      </c>
      <c r="AK4" s="25">
        <v>27.933881562005514</v>
      </c>
      <c r="AL4" s="25"/>
      <c r="AM4" s="24" t="str">
        <v>/KWZ25</v>
      </c>
      <c r="AN4" s="24">
        <v>-1.895579620614359E-3</v>
      </c>
      <c r="AO4" s="24">
        <v>1.6569398421939326E-2</v>
      </c>
      <c r="AP4" s="24">
        <v>-4.0441764412951865E-2</v>
      </c>
      <c r="AQ4" s="24">
        <v>-2.9149814712149339E-2</v>
      </c>
      <c r="AR4" s="24">
        <v>2.5358655470920619E-2</v>
      </c>
      <c r="AS4" s="24">
        <v>3.6650605171723145E-2</v>
      </c>
      <c r="AT4" s="24"/>
      <c r="AU4" s="31" t="s">
        <v>407</v>
      </c>
      <c r="AV4" s="40" t="s">
        <v>373</v>
      </c>
      <c r="AW4" s="40">
        <f t="shared" ref="AW4:AW10" si="2">AN4</f>
        <v>-1.895579620614359E-3</v>
      </c>
      <c r="AX4" s="32">
        <f t="shared" ref="AX4:AX21" si="3">AO4</f>
        <v>1.6569398421939326E-2</v>
      </c>
      <c r="AY4" s="31">
        <f t="shared" ref="AY4:AY9" si="4">AVERAGE(ABS(AQ4),AR4)</f>
        <v>2.7254235091534979E-2</v>
      </c>
      <c r="AZ4" s="32">
        <f t="shared" ref="AZ4:AZ9" si="5">AVERAGE(ABS(AP4),AS4)</f>
        <v>3.8546184792337505E-2</v>
      </c>
      <c r="BA4" s="36">
        <f t="shared" si="0"/>
        <v>20.831966827935968</v>
      </c>
      <c r="BB4" s="37">
        <f t="shared" si="1"/>
        <v>29.463048228672179</v>
      </c>
      <c r="BC4" s="36">
        <f>BA4*BF4</f>
        <v>7.6536646125836745</v>
      </c>
      <c r="BD4" s="37">
        <f>BB4*BF4</f>
        <v>10.824723919214158</v>
      </c>
      <c r="BF4" s="27">
        <v>0.3674</v>
      </c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</row>
    <row r="5" spans="1:78" x14ac:dyDescent="0.25">
      <c r="A5">
        <v>669.25</v>
      </c>
      <c r="B5">
        <v>712.25</v>
      </c>
      <c r="C5">
        <v>6.94</v>
      </c>
      <c r="D5">
        <v>482.75</v>
      </c>
      <c r="E5">
        <v>1283.75</v>
      </c>
      <c r="F5">
        <v>363.2</v>
      </c>
      <c r="G5">
        <v>68.02</v>
      </c>
      <c r="H5">
        <v>4682</v>
      </c>
      <c r="I5">
        <v>9639</v>
      </c>
      <c r="J5">
        <v>3373</v>
      </c>
      <c r="K5">
        <v>8962</v>
      </c>
      <c r="L5">
        <v>2378</v>
      </c>
      <c r="M5">
        <v>10394</v>
      </c>
      <c r="N5">
        <v>559.25</v>
      </c>
      <c r="O5">
        <v>826.6</v>
      </c>
      <c r="P5">
        <v>2.09</v>
      </c>
      <c r="Q5">
        <v>4.7766000000000002</v>
      </c>
      <c r="R5">
        <v>1410.75</v>
      </c>
      <c r="S5">
        <v>93.17</v>
      </c>
      <c r="T5">
        <v>102.91</v>
      </c>
      <c r="U5">
        <v>3.1337999999999999</v>
      </c>
      <c r="AE5" t="str">
        <v>/MWEZ25</v>
      </c>
      <c r="AF5" s="25">
        <v>-1.4166666666666676E-2</v>
      </c>
      <c r="AG5" s="25">
        <v>0.10045728777279767</v>
      </c>
      <c r="AH5" s="25">
        <v>-0.24786526450472074</v>
      </c>
      <c r="AI5" s="25">
        <v>-0.17940420081833569</v>
      </c>
      <c r="AJ5" s="25">
        <v>0.15107086748500231</v>
      </c>
      <c r="AK5" s="25">
        <v>0.21953193117138736</v>
      </c>
      <c r="AL5" s="25"/>
      <c r="AM5" s="26" t="str">
        <v>/MWEZ25</v>
      </c>
      <c r="AN5" s="24">
        <v>-1.8797938945933289E-3</v>
      </c>
      <c r="AO5" s="24">
        <v>1.375667085988415E-2</v>
      </c>
      <c r="AP5" s="24">
        <v>-3.3882595902802577E-2</v>
      </c>
      <c r="AQ5" s="24">
        <v>-2.4507503853918981E-2</v>
      </c>
      <c r="AR5" s="24">
        <v>2.0747916064732325E-2</v>
      </c>
      <c r="AS5" s="24">
        <v>3.0123008113615922E-2</v>
      </c>
      <c r="AT5" s="24"/>
      <c r="AU5" s="31" t="s">
        <v>387</v>
      </c>
      <c r="AV5" s="40" t="s">
        <v>404</v>
      </c>
      <c r="AW5" s="40">
        <f t="shared" si="2"/>
        <v>-1.8797938945933289E-3</v>
      </c>
      <c r="AX5" s="32">
        <f t="shared" si="3"/>
        <v>1.375667085988415E-2</v>
      </c>
      <c r="AY5" s="31">
        <f t="shared" si="4"/>
        <v>2.2627709959325653E-2</v>
      </c>
      <c r="AZ5" s="32">
        <f t="shared" si="5"/>
        <v>3.200280200820925E-2</v>
      </c>
      <c r="BA5" s="36">
        <f t="shared" si="0"/>
        <v>0.165237534151669</v>
      </c>
      <c r="BB5" s="37">
        <f t="shared" si="1"/>
        <v>0.23369859783805405</v>
      </c>
      <c r="BC5" s="36">
        <f t="shared" ref="BC5:BC7" si="6">BA5*BF5</f>
        <v>6.0708270047323198</v>
      </c>
      <c r="BD5" s="37">
        <f t="shared" ref="BD5:BD8" si="7">BB5*BF5</f>
        <v>8.5860864845701066</v>
      </c>
      <c r="BF5" s="27">
        <v>36.74</v>
      </c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</row>
    <row r="6" spans="1:78" x14ac:dyDescent="0.25">
      <c r="A6">
        <v>672.25</v>
      </c>
      <c r="B6">
        <v>715.25</v>
      </c>
      <c r="C6">
        <v>6.9625000000000004</v>
      </c>
      <c r="D6">
        <v>483</v>
      </c>
      <c r="E6">
        <v>1287.75</v>
      </c>
      <c r="F6">
        <v>368.7</v>
      </c>
      <c r="G6">
        <v>68.63</v>
      </c>
      <c r="H6">
        <v>4637</v>
      </c>
      <c r="I6">
        <v>9700</v>
      </c>
      <c r="J6">
        <v>3383</v>
      </c>
      <c r="K6">
        <v>9008</v>
      </c>
      <c r="L6">
        <v>2368</v>
      </c>
      <c r="M6">
        <v>10374</v>
      </c>
      <c r="N6">
        <v>552.25</v>
      </c>
      <c r="P6">
        <v>2.11</v>
      </c>
      <c r="Q6">
        <v>4.5868000000000002</v>
      </c>
      <c r="R6">
        <v>1371.25</v>
      </c>
      <c r="S6">
        <v>92.86</v>
      </c>
      <c r="T6">
        <v>103.2</v>
      </c>
      <c r="U6">
        <v>3.1705999999999999</v>
      </c>
      <c r="AE6" t="str">
        <v>/CZ25</v>
      </c>
      <c r="AF6" s="25">
        <v>-0.12083333333333333</v>
      </c>
      <c r="AG6" s="25">
        <v>7.4594229548410143</v>
      </c>
      <c r="AH6" s="25">
        <v>-17.474046065594525</v>
      </c>
      <c r="AI6" s="25">
        <v>-12.390492235930633</v>
      </c>
      <c r="AJ6" s="25">
        <v>12.148825569263966</v>
      </c>
      <c r="AK6" s="25">
        <v>17.232379398927858</v>
      </c>
      <c r="AL6" s="25"/>
      <c r="AM6" s="24" t="str">
        <v>/CZ25</v>
      </c>
      <c r="AN6" s="24">
        <v>-1.5340276956393544E-4</v>
      </c>
      <c r="AO6" s="24">
        <v>1.4975787439318473E-2</v>
      </c>
      <c r="AP6" s="24">
        <v>-3.4992294040498376E-2</v>
      </c>
      <c r="AQ6" s="24">
        <v>-2.4786381056307968E-2</v>
      </c>
      <c r="AR6" s="24">
        <v>2.4479575517180101E-2</v>
      </c>
      <c r="AS6" s="24">
        <v>3.4685488501370501E-2</v>
      </c>
      <c r="AT6" s="24"/>
      <c r="AU6" s="31" t="s">
        <v>407</v>
      </c>
      <c r="AV6" s="40" t="s">
        <v>374</v>
      </c>
      <c r="AW6" s="40">
        <f t="shared" si="2"/>
        <v>-1.5340276956393544E-4</v>
      </c>
      <c r="AX6" s="32">
        <f t="shared" si="3"/>
        <v>1.4975787439318473E-2</v>
      </c>
      <c r="AY6" s="31">
        <f t="shared" si="4"/>
        <v>2.4632978286744035E-2</v>
      </c>
      <c r="AZ6" s="32">
        <f t="shared" si="5"/>
        <v>3.4838891270934438E-2</v>
      </c>
      <c r="BA6" s="36">
        <f t="shared" si="0"/>
        <v>12.2696589025973</v>
      </c>
      <c r="BB6" s="37">
        <f t="shared" si="1"/>
        <v>17.353212732261191</v>
      </c>
      <c r="BC6" s="36">
        <f t="shared" si="6"/>
        <v>4.8293377440622969</v>
      </c>
      <c r="BD6" s="37">
        <f t="shared" si="7"/>
        <v>6.830224531418005</v>
      </c>
      <c r="BF6" s="27">
        <v>0.39360000000000001</v>
      </c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</row>
    <row r="7" spans="1:78" x14ac:dyDescent="0.25">
      <c r="A7">
        <v>671</v>
      </c>
      <c r="B7">
        <v>719.25</v>
      </c>
      <c r="C7">
        <v>6.9524999999999997</v>
      </c>
      <c r="D7">
        <v>479.75</v>
      </c>
      <c r="E7">
        <v>1292</v>
      </c>
      <c r="F7">
        <v>365.6</v>
      </c>
      <c r="G7">
        <v>68.02</v>
      </c>
      <c r="H7">
        <v>4592</v>
      </c>
      <c r="I7">
        <v>9662</v>
      </c>
      <c r="J7">
        <v>3389</v>
      </c>
      <c r="K7">
        <v>8995</v>
      </c>
      <c r="L7">
        <v>2365</v>
      </c>
      <c r="M7">
        <v>10301</v>
      </c>
      <c r="N7">
        <v>555.75</v>
      </c>
      <c r="O7">
        <v>829.8</v>
      </c>
      <c r="P7">
        <v>2.0674999999999999</v>
      </c>
      <c r="Q7">
        <v>4.5884</v>
      </c>
      <c r="R7">
        <v>1376</v>
      </c>
      <c r="S7">
        <v>91.01</v>
      </c>
      <c r="T7">
        <v>101.25</v>
      </c>
      <c r="U7">
        <v>3.1534</v>
      </c>
      <c r="AE7" t="str">
        <v>/SF26</v>
      </c>
      <c r="AF7" s="25">
        <v>0.26250000000000001</v>
      </c>
      <c r="AG7" s="25">
        <v>14.236756037020063</v>
      </c>
      <c r="AH7" s="25">
        <v>-32.857147139378284</v>
      </c>
      <c r="AI7" s="25">
        <v>-23.154879804206598</v>
      </c>
      <c r="AJ7" s="25">
        <v>23.679879804206596</v>
      </c>
      <c r="AK7" s="25">
        <v>33.38214713937829</v>
      </c>
      <c r="AL7" s="25"/>
      <c r="AM7" s="24" t="str">
        <v>/SF26</v>
      </c>
      <c r="AN7" s="24">
        <v>2.7636779759418657E-4</v>
      </c>
      <c r="AO7" s="24">
        <v>1.1235608867466284E-2</v>
      </c>
      <c r="AP7" s="24">
        <v>-2.5861567004331551E-2</v>
      </c>
      <c r="AQ7" s="24">
        <v>-1.8204564199611091E-2</v>
      </c>
      <c r="AR7" s="24">
        <v>1.8757299794799467E-2</v>
      </c>
      <c r="AS7" s="24">
        <v>2.6414302599519927E-2</v>
      </c>
      <c r="AT7" s="24"/>
      <c r="AU7" s="31" t="s">
        <v>407</v>
      </c>
      <c r="AV7" s="40" t="s">
        <v>375</v>
      </c>
      <c r="AW7" s="40">
        <f t="shared" si="2"/>
        <v>2.7636779759418657E-4</v>
      </c>
      <c r="AX7" s="32">
        <f t="shared" si="3"/>
        <v>1.1235608867466284E-2</v>
      </c>
      <c r="AY7" s="31">
        <f t="shared" si="4"/>
        <v>1.8480931997205279E-2</v>
      </c>
      <c r="AZ7" s="32">
        <f t="shared" si="5"/>
        <v>2.6137934801925739E-2</v>
      </c>
      <c r="BA7" s="36">
        <f t="shared" si="0"/>
        <v>23.417379804206597</v>
      </c>
      <c r="BB7" s="37">
        <f t="shared" si="1"/>
        <v>33.119647139378287</v>
      </c>
      <c r="BC7" s="36">
        <f t="shared" si="6"/>
        <v>8.6035453400655033</v>
      </c>
      <c r="BD7" s="37">
        <f t="shared" si="7"/>
        <v>12.168158359007583</v>
      </c>
      <c r="BF7" s="27">
        <v>0.3674</v>
      </c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</row>
    <row r="8" spans="1:78" x14ac:dyDescent="0.25">
      <c r="A8">
        <v>683.25</v>
      </c>
      <c r="B8">
        <v>736.25</v>
      </c>
      <c r="C8">
        <v>7.06</v>
      </c>
      <c r="D8">
        <v>500.25</v>
      </c>
      <c r="E8">
        <v>1287.5</v>
      </c>
      <c r="F8">
        <v>357.6</v>
      </c>
      <c r="G8">
        <v>67.92</v>
      </c>
      <c r="H8">
        <v>4661</v>
      </c>
      <c r="I8">
        <v>9564</v>
      </c>
      <c r="J8">
        <v>3388</v>
      </c>
      <c r="K8">
        <v>8933</v>
      </c>
      <c r="L8">
        <v>2352</v>
      </c>
      <c r="M8">
        <v>10277</v>
      </c>
      <c r="N8">
        <v>557.25</v>
      </c>
      <c r="O8">
        <v>828.9</v>
      </c>
      <c r="P8">
        <v>2.085</v>
      </c>
      <c r="Q8">
        <v>4.7164999999999999</v>
      </c>
      <c r="R8">
        <v>1391.25</v>
      </c>
      <c r="S8">
        <v>90.75</v>
      </c>
      <c r="T8">
        <v>100.96</v>
      </c>
      <c r="U8">
        <v>3.1596000000000002</v>
      </c>
      <c r="AE8" t="str">
        <v>/SMZ25</v>
      </c>
      <c r="AF8" s="25">
        <v>0.49166666666666764</v>
      </c>
      <c r="AG8" s="25">
        <v>5.1649828675997398</v>
      </c>
      <c r="AH8" s="25">
        <v>-11.523880246620411</v>
      </c>
      <c r="AI8" s="25">
        <v>-8.0039741364976251</v>
      </c>
      <c r="AJ8" s="25">
        <v>8.9873074698309594</v>
      </c>
      <c r="AK8" s="25">
        <v>12.507213579953746</v>
      </c>
      <c r="AL8" s="25"/>
      <c r="AM8" s="24" t="str">
        <v>/SMZ25</v>
      </c>
      <c r="AN8" s="24">
        <v>1.5280748115606073E-3</v>
      </c>
      <c r="AO8" s="24">
        <v>1.4742804547885435E-2</v>
      </c>
      <c r="AP8" s="24">
        <v>-3.2768817205210209E-2</v>
      </c>
      <c r="AQ8" s="24">
        <v>-2.2721680721180845E-2</v>
      </c>
      <c r="AR8" s="24">
        <v>2.5777830344302061E-2</v>
      </c>
      <c r="AS8" s="24">
        <v>3.5824966828331424E-2</v>
      </c>
      <c r="AT8" s="24"/>
      <c r="AU8" s="31" t="s">
        <v>388</v>
      </c>
      <c r="AV8" s="40" t="s">
        <v>376</v>
      </c>
      <c r="AW8" s="40">
        <f t="shared" si="2"/>
        <v>1.5280748115606073E-3</v>
      </c>
      <c r="AX8" s="32">
        <f t="shared" si="3"/>
        <v>1.4742804547885435E-2</v>
      </c>
      <c r="AY8" s="31">
        <f t="shared" si="4"/>
        <v>2.4249755532741453E-2</v>
      </c>
      <c r="AZ8" s="32">
        <f t="shared" si="5"/>
        <v>3.4296892016770816E-2</v>
      </c>
      <c r="BA8" s="36">
        <f t="shared" ref="BA8:BA21" si="8">AVERAGE(ABS(AI8),AJ8)</f>
        <v>8.4956408031642923</v>
      </c>
      <c r="BB8" s="37">
        <f t="shared" ref="BB8:BB21" si="9">AVERAGE(ABS(AH8),AK8)</f>
        <v>12.015546913287078</v>
      </c>
      <c r="BC8" s="36">
        <f>BA8*BF8</f>
        <v>9.3647448573280005</v>
      </c>
      <c r="BD8" s="37">
        <f t="shared" si="7"/>
        <v>13.244737362516346</v>
      </c>
      <c r="BF8" s="27">
        <v>1.1023000000000001</v>
      </c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</row>
    <row r="9" spans="1:78" x14ac:dyDescent="0.25">
      <c r="A9">
        <v>686.5</v>
      </c>
      <c r="B9">
        <v>738.5</v>
      </c>
      <c r="C9">
        <v>7.1025</v>
      </c>
      <c r="D9">
        <v>502</v>
      </c>
      <c r="E9">
        <v>1297.5</v>
      </c>
      <c r="F9">
        <v>365.8</v>
      </c>
      <c r="G9">
        <v>67.680000000000007</v>
      </c>
      <c r="H9">
        <v>4524</v>
      </c>
      <c r="N9">
        <v>552.75</v>
      </c>
      <c r="O9">
        <v>822.9</v>
      </c>
      <c r="P9">
        <v>2.0699999999999998</v>
      </c>
      <c r="Q9">
        <v>4.4766000000000004</v>
      </c>
      <c r="R9">
        <v>1333</v>
      </c>
      <c r="S9">
        <v>87.55</v>
      </c>
      <c r="T9">
        <v>97.45</v>
      </c>
      <c r="U9">
        <v>3.0710999999999999</v>
      </c>
      <c r="AE9" t="str">
        <v>/BOZ25</v>
      </c>
      <c r="AF9" s="25">
        <v>-0.11866666666666674</v>
      </c>
      <c r="AG9" s="25">
        <v>1.0391643752891333</v>
      </c>
      <c r="AH9" s="25">
        <v>-2.5361245018570804</v>
      </c>
      <c r="AI9" s="25">
        <v>-1.8279399584101867</v>
      </c>
      <c r="AJ9" s="25">
        <v>1.5906066250768534</v>
      </c>
      <c r="AK9" s="25">
        <v>2.2987911685237465</v>
      </c>
      <c r="AL9" s="25"/>
      <c r="AM9" s="24" t="str">
        <v>/BOZ25</v>
      </c>
      <c r="AN9" s="24">
        <v>-1.58588257326438E-3</v>
      </c>
      <c r="AO9" s="24">
        <v>1.4886735602932992E-2</v>
      </c>
      <c r="AP9" s="24">
        <v>-3.6217608293947649E-2</v>
      </c>
      <c r="AQ9" s="24">
        <v>-2.6072383623938745E-2</v>
      </c>
      <c r="AR9" s="24">
        <v>2.2900618477409984E-2</v>
      </c>
      <c r="AS9" s="24">
        <v>3.3045843147418895E-2</v>
      </c>
      <c r="AT9" s="24"/>
      <c r="AU9" s="31" t="s">
        <v>389</v>
      </c>
      <c r="AV9" s="40" t="s">
        <v>377</v>
      </c>
      <c r="AW9" s="40">
        <f t="shared" si="2"/>
        <v>-1.58588257326438E-3</v>
      </c>
      <c r="AX9" s="32">
        <f t="shared" si="3"/>
        <v>1.4886735602932992E-2</v>
      </c>
      <c r="AY9" s="31">
        <f t="shared" si="4"/>
        <v>2.4486501050674365E-2</v>
      </c>
      <c r="AZ9" s="32">
        <f t="shared" si="5"/>
        <v>3.4631725720683272E-2</v>
      </c>
      <c r="BA9" s="36">
        <f t="shared" si="8"/>
        <v>1.7092732917435201</v>
      </c>
      <c r="BB9" s="37">
        <f t="shared" si="9"/>
        <v>2.4174578351904135</v>
      </c>
      <c r="BC9" s="36">
        <f t="shared" ref="BC9:BC22" si="10">BA9*BF9</f>
        <v>37.672383350027182</v>
      </c>
      <c r="BD9" s="37">
        <f t="shared" ref="BD9:BD22" si="11">BB9*BF9</f>
        <v>53.280770687596714</v>
      </c>
      <c r="BF9" s="27">
        <v>22.04</v>
      </c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</row>
    <row r="10" spans="1:78" x14ac:dyDescent="0.25">
      <c r="A10">
        <v>704.25</v>
      </c>
      <c r="B10">
        <v>756.25</v>
      </c>
      <c r="C10">
        <v>7.1974999999999998</v>
      </c>
      <c r="D10">
        <v>508</v>
      </c>
      <c r="E10">
        <v>1303</v>
      </c>
      <c r="F10">
        <v>354.8</v>
      </c>
      <c r="G10">
        <v>69.91</v>
      </c>
      <c r="H10">
        <v>4560</v>
      </c>
      <c r="N10">
        <v>561</v>
      </c>
      <c r="O10">
        <v>839</v>
      </c>
      <c r="P10">
        <v>2.08</v>
      </c>
      <c r="Q10">
        <v>4.4230999999999998</v>
      </c>
      <c r="R10">
        <v>1257</v>
      </c>
      <c r="S10">
        <v>88.43</v>
      </c>
      <c r="T10">
        <v>97.59</v>
      </c>
      <c r="U10">
        <v>3.0880000000000001</v>
      </c>
      <c r="AE10" t="str">
        <v>/FCPOF26</v>
      </c>
      <c r="AF10" s="25">
        <v>1.1333333333333333</v>
      </c>
      <c r="AG10" s="25">
        <v>47.358161706573767</v>
      </c>
      <c r="AH10" s="25">
        <v>-109.03822546930276</v>
      </c>
      <c r="AI10" s="25">
        <v>-76.763910717777037</v>
      </c>
      <c r="AJ10" s="25">
        <v>79.030577384443717</v>
      </c>
      <c r="AK10" s="25">
        <v>111.30489213596944</v>
      </c>
      <c r="AL10" s="25"/>
      <c r="AM10" s="24" t="str">
        <v>/FCPOF26</v>
      </c>
      <c r="AN10" s="24">
        <v>2.8148589262981251E-4</v>
      </c>
      <c r="AO10" s="24">
        <v>9.9225392639308244E-3</v>
      </c>
      <c r="AP10" s="24">
        <v>-2.2801792228697187E-2</v>
      </c>
      <c r="AQ10" s="24">
        <v>-1.6039638804696714E-2</v>
      </c>
      <c r="AR10" s="24">
        <v>1.6602610589956338E-2</v>
      </c>
      <c r="AS10" s="24">
        <v>2.3364764013956811E-2</v>
      </c>
      <c r="AT10" s="24"/>
      <c r="AU10" s="31" t="s">
        <v>390</v>
      </c>
      <c r="AV10" s="40" t="s">
        <v>378</v>
      </c>
      <c r="AW10" s="40">
        <f t="shared" si="2"/>
        <v>2.8148589262981251E-4</v>
      </c>
      <c r="AX10" s="32">
        <f t="shared" si="3"/>
        <v>9.9225392639308244E-3</v>
      </c>
      <c r="AY10" s="31">
        <f t="shared" ref="AY10:AY21" si="12">AVERAGE(ABS(AQ10),AR10)</f>
        <v>1.6321124697326526E-2</v>
      </c>
      <c r="AZ10" s="32">
        <f t="shared" ref="AZ10:AZ21" si="13">AVERAGE(ABS(AP10),AS10)</f>
        <v>2.3083278121326999E-2</v>
      </c>
      <c r="BA10" s="36">
        <f t="shared" si="8"/>
        <v>77.897244051110377</v>
      </c>
      <c r="BB10" s="37">
        <f t="shared" si="9"/>
        <v>110.1715588026361</v>
      </c>
      <c r="BC10" s="36">
        <f t="shared" si="10"/>
        <v>18.770420253279607</v>
      </c>
      <c r="BD10" s="37">
        <f t="shared" si="11"/>
        <v>26.547363566900263</v>
      </c>
      <c r="BF10" s="27">
        <f>1/4.15</f>
        <v>0.24096385542168672</v>
      </c>
      <c r="BG10" s="26" t="s">
        <v>366</v>
      </c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</row>
    <row r="11" spans="1:78" x14ac:dyDescent="0.25">
      <c r="A11">
        <v>692.25</v>
      </c>
      <c r="B11">
        <v>742.25</v>
      </c>
      <c r="C11">
        <v>7.085</v>
      </c>
      <c r="D11">
        <v>497.25</v>
      </c>
      <c r="E11">
        <v>1280.75</v>
      </c>
      <c r="F11">
        <v>347.1</v>
      </c>
      <c r="G11">
        <v>69.349999999999994</v>
      </c>
      <c r="H11">
        <v>4578</v>
      </c>
      <c r="N11">
        <v>558</v>
      </c>
      <c r="O11">
        <v>832.8</v>
      </c>
      <c r="P11">
        <v>2.0550000000000002</v>
      </c>
      <c r="Q11">
        <v>4.4001000000000001</v>
      </c>
      <c r="R11">
        <v>1301.5</v>
      </c>
      <c r="S11">
        <v>88.2</v>
      </c>
      <c r="T11">
        <v>97.58</v>
      </c>
      <c r="U11">
        <v>3.0718999999999999</v>
      </c>
      <c r="AE11" t="str">
        <v>/DCPF6</v>
      </c>
      <c r="AF11" s="25">
        <v>-0.33333333333333331</v>
      </c>
      <c r="AG11" s="25">
        <v>79.884591897304361</v>
      </c>
      <c r="AH11" s="25">
        <v>-186.17268385898498</v>
      </c>
      <c r="AI11" s="25">
        <v>-131.73179405702925</v>
      </c>
      <c r="AJ11" s="25">
        <v>131.06512739036256</v>
      </c>
      <c r="AK11" s="25">
        <v>185.5060171923183</v>
      </c>
      <c r="AL11" s="25"/>
      <c r="AM11" s="24" t="str">
        <v>/DCPF6</v>
      </c>
      <c r="AN11" s="24">
        <v>-8.0373658364015398E-6</v>
      </c>
      <c r="AO11" s="24">
        <v>8.0864081248930974E-3</v>
      </c>
      <c r="AP11" s="24">
        <v>-1.8819835715477785E-2</v>
      </c>
      <c r="AQ11" s="24">
        <v>-1.3308995099469083E-2</v>
      </c>
      <c r="AR11" s="24">
        <v>1.3292920367796279E-2</v>
      </c>
      <c r="AS11" s="24">
        <v>1.8803760983804981E-2</v>
      </c>
      <c r="AT11" s="24"/>
      <c r="AU11" s="31" t="s">
        <v>391</v>
      </c>
      <c r="AV11" s="26" t="s">
        <v>406</v>
      </c>
      <c r="AW11" s="40">
        <f t="shared" ref="AW11:AW21" si="14">AN11</f>
        <v>-8.0373658364015398E-6</v>
      </c>
      <c r="AX11" s="32">
        <f t="shared" si="3"/>
        <v>8.0864081248930974E-3</v>
      </c>
      <c r="AY11" s="31">
        <f t="shared" si="12"/>
        <v>1.3300957733632681E-2</v>
      </c>
      <c r="AZ11" s="32">
        <f t="shared" si="13"/>
        <v>1.8811798349641383E-2</v>
      </c>
      <c r="BA11" s="36">
        <f t="shared" si="8"/>
        <v>131.39846072369591</v>
      </c>
      <c r="BB11" s="37">
        <f t="shared" si="9"/>
        <v>185.83935052565164</v>
      </c>
      <c r="BC11" s="36">
        <f t="shared" si="10"/>
        <v>18.454839989283133</v>
      </c>
      <c r="BD11" s="37">
        <f t="shared" si="11"/>
        <v>26.101032377198266</v>
      </c>
      <c r="BF11" s="27">
        <f>1/7.12</f>
        <v>0.1404494382022472</v>
      </c>
      <c r="BG11" s="26" t="s">
        <v>367</v>
      </c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</row>
    <row r="12" spans="1:78" x14ac:dyDescent="0.25">
      <c r="A12">
        <v>683</v>
      </c>
      <c r="B12">
        <v>735.25</v>
      </c>
      <c r="C12">
        <v>6.98</v>
      </c>
      <c r="D12">
        <v>497.75</v>
      </c>
      <c r="E12">
        <v>1278.25</v>
      </c>
      <c r="F12">
        <v>347.5</v>
      </c>
      <c r="G12">
        <v>68.62</v>
      </c>
      <c r="H12">
        <v>4535</v>
      </c>
      <c r="N12">
        <v>555.25</v>
      </c>
      <c r="O12">
        <v>828.7</v>
      </c>
      <c r="P12">
        <v>2.1</v>
      </c>
      <c r="Q12">
        <v>4.3573000000000004</v>
      </c>
      <c r="R12">
        <v>1265.5</v>
      </c>
      <c r="S12">
        <v>89.43</v>
      </c>
      <c r="T12">
        <v>98.71</v>
      </c>
      <c r="U12">
        <v>3.1118999999999999</v>
      </c>
      <c r="AE12" t="str">
        <v>/DSMF6</v>
      </c>
      <c r="AF12" s="25">
        <v>2.9833333333333334</v>
      </c>
      <c r="AG12" s="25">
        <v>24.833337125089763</v>
      </c>
      <c r="AH12" s="25">
        <v>-54.787647691944507</v>
      </c>
      <c r="AI12" s="25">
        <v>-37.863871307384315</v>
      </c>
      <c r="AJ12" s="25">
        <v>43.830537974050984</v>
      </c>
      <c r="AK12" s="25">
        <v>60.754314358611175</v>
      </c>
      <c r="AL12" s="25"/>
      <c r="AM12" s="24" t="str">
        <v>/DSMF6</v>
      </c>
      <c r="AN12" s="24">
        <v>9.57497629941199E-4</v>
      </c>
      <c r="AO12" s="24">
        <v>7.517113607600762E-3</v>
      </c>
      <c r="AP12" s="24">
        <v>-1.6529923629717305E-2</v>
      </c>
      <c r="AQ12" s="24">
        <v>-1.1407053952091968E-2</v>
      </c>
      <c r="AR12" s="24">
        <v>1.3322049211974368E-2</v>
      </c>
      <c r="AS12" s="24">
        <v>1.8444918889599701E-2</v>
      </c>
      <c r="AT12" s="24"/>
      <c r="AU12" s="31" t="s">
        <v>391</v>
      </c>
      <c r="AV12" s="40" t="s">
        <v>379</v>
      </c>
      <c r="AW12" s="40">
        <f t="shared" si="14"/>
        <v>9.57497629941199E-4</v>
      </c>
      <c r="AX12" s="32">
        <f t="shared" si="3"/>
        <v>7.517113607600762E-3</v>
      </c>
      <c r="AY12" s="31">
        <f t="shared" si="12"/>
        <v>1.2364551582033168E-2</v>
      </c>
      <c r="AZ12" s="32">
        <f t="shared" si="13"/>
        <v>1.7487421259658503E-2</v>
      </c>
      <c r="BA12" s="36">
        <f t="shared" si="8"/>
        <v>40.847204640717649</v>
      </c>
      <c r="BB12" s="37">
        <f t="shared" si="9"/>
        <v>57.770981025277841</v>
      </c>
      <c r="BC12" s="36">
        <f t="shared" ref="BC12:BC18" si="15">BA12*BF12</f>
        <v>5.7369669439210185</v>
      </c>
      <c r="BD12" s="37">
        <f t="shared" ref="BD12:BD18" si="16">BB12*BF12</f>
        <v>8.1139018293929563</v>
      </c>
      <c r="BF12" s="27">
        <f>1/7.12</f>
        <v>0.1404494382022472</v>
      </c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</row>
    <row r="13" spans="1:78" x14ac:dyDescent="0.25">
      <c r="A13">
        <v>682.75</v>
      </c>
      <c r="B13">
        <v>737.5</v>
      </c>
      <c r="C13">
        <v>6.9675000000000002</v>
      </c>
      <c r="D13">
        <v>502.25</v>
      </c>
      <c r="E13">
        <v>1284</v>
      </c>
      <c r="F13">
        <v>353.3</v>
      </c>
      <c r="G13">
        <v>67.38</v>
      </c>
      <c r="H13">
        <v>4554</v>
      </c>
      <c r="N13">
        <v>551.75</v>
      </c>
      <c r="O13">
        <v>825.2</v>
      </c>
      <c r="P13">
        <v>2.1150000000000002</v>
      </c>
      <c r="Q13">
        <v>4.4905999999999997</v>
      </c>
      <c r="R13">
        <v>1335.75</v>
      </c>
      <c r="S13">
        <v>90.84</v>
      </c>
      <c r="T13">
        <v>98.43</v>
      </c>
      <c r="U13">
        <v>3.1728999999999998</v>
      </c>
      <c r="AE13" t="str">
        <v>/DBYF6</v>
      </c>
      <c r="AF13" s="25">
        <v>5.2</v>
      </c>
      <c r="AG13" s="25">
        <v>55.701930709318887</v>
      </c>
      <c r="AH13" s="25">
        <v>-124.38206808331931</v>
      </c>
      <c r="AI13" s="25">
        <v>-86.42152275812586</v>
      </c>
      <c r="AJ13" s="25">
        <v>96.821522758125866</v>
      </c>
      <c r="AK13" s="25">
        <v>134.7820680833193</v>
      </c>
      <c r="AL13" s="25"/>
      <c r="AM13" s="24" t="str">
        <v>/DBYF6</v>
      </c>
      <c r="AN13" s="24">
        <v>6.1414361537515301E-4</v>
      </c>
      <c r="AO13" s="24">
        <v>6.2962083672643571E-3</v>
      </c>
      <c r="AP13" s="24">
        <v>-1.4033027334071297E-2</v>
      </c>
      <c r="AQ13" s="24">
        <v>-9.7421975538673732E-3</v>
      </c>
      <c r="AR13" s="24">
        <v>1.0970484784617679E-2</v>
      </c>
      <c r="AS13" s="24">
        <v>1.5261314564821602E-2</v>
      </c>
      <c r="AT13" s="24"/>
      <c r="AU13" s="31" t="s">
        <v>391</v>
      </c>
      <c r="AV13" s="40" t="s">
        <v>380</v>
      </c>
      <c r="AW13" s="40">
        <f t="shared" si="14"/>
        <v>6.1414361537515301E-4</v>
      </c>
      <c r="AX13" s="32">
        <f t="shared" si="3"/>
        <v>6.2962083672643571E-3</v>
      </c>
      <c r="AY13" s="31">
        <f t="shared" si="12"/>
        <v>1.0356341169242526E-2</v>
      </c>
      <c r="AZ13" s="32">
        <f t="shared" si="13"/>
        <v>1.464717094944645E-2</v>
      </c>
      <c r="BA13" s="36">
        <f t="shared" si="8"/>
        <v>91.621522758125863</v>
      </c>
      <c r="BB13" s="37">
        <f t="shared" si="9"/>
        <v>129.58206808331931</v>
      </c>
      <c r="BC13" s="36">
        <f t="shared" si="15"/>
        <v>12.868191398613185</v>
      </c>
      <c r="BD13" s="37">
        <f t="shared" si="16"/>
        <v>18.199728663387546</v>
      </c>
      <c r="BF13" s="27">
        <f>1/7.12</f>
        <v>0.1404494382022472</v>
      </c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</row>
    <row r="14" spans="1:78" x14ac:dyDescent="0.25">
      <c r="A14">
        <v>675.75</v>
      </c>
      <c r="B14">
        <v>733</v>
      </c>
      <c r="C14">
        <v>6.9325000000000001</v>
      </c>
      <c r="D14">
        <v>500.75</v>
      </c>
      <c r="E14">
        <v>1293</v>
      </c>
      <c r="F14">
        <v>356.9</v>
      </c>
      <c r="G14">
        <v>68.28</v>
      </c>
      <c r="H14">
        <v>4610</v>
      </c>
      <c r="I14">
        <v>9593</v>
      </c>
      <c r="J14">
        <v>3369</v>
      </c>
      <c r="K14">
        <v>8934</v>
      </c>
      <c r="L14">
        <v>2332</v>
      </c>
      <c r="M14">
        <v>10217</v>
      </c>
      <c r="N14">
        <v>554</v>
      </c>
      <c r="P14">
        <v>2.14</v>
      </c>
      <c r="Q14">
        <v>4.5068000000000001</v>
      </c>
      <c r="R14">
        <v>1350.25</v>
      </c>
      <c r="S14">
        <v>88.42</v>
      </c>
      <c r="T14">
        <v>95.09</v>
      </c>
      <c r="U14">
        <v>3.0472000000000001</v>
      </c>
      <c r="AE14" t="str">
        <v>/CRSMF6</v>
      </c>
      <c r="AF14" s="25">
        <v>1.4333333333333333</v>
      </c>
      <c r="AG14" s="25">
        <v>21.440786940613169</v>
      </c>
      <c r="AH14" s="25">
        <v>-48.445395782849083</v>
      </c>
      <c r="AI14" s="25">
        <v>-33.833622831668478</v>
      </c>
      <c r="AJ14" s="25">
        <v>36.700289498335138</v>
      </c>
      <c r="AK14" s="25">
        <v>51.312062449515743</v>
      </c>
      <c r="AL14" s="25"/>
      <c r="AM14" s="24" t="str">
        <v>/CRSMF6</v>
      </c>
      <c r="AN14" s="24">
        <v>6.6726029327588603E-4</v>
      </c>
      <c r="AO14" s="24">
        <v>9.1988432845687019E-3</v>
      </c>
      <c r="AP14" s="24">
        <v>-2.0732449225039692E-2</v>
      </c>
      <c r="AQ14" s="24">
        <v>-1.4463490447551536E-2</v>
      </c>
      <c r="AR14" s="24">
        <v>1.5798011034103308E-2</v>
      </c>
      <c r="AS14" s="24">
        <v>2.2066969811591463E-2</v>
      </c>
      <c r="AT14" s="24"/>
      <c r="AU14" s="31" t="s">
        <v>391</v>
      </c>
      <c r="AV14" s="40" t="s">
        <v>382</v>
      </c>
      <c r="AW14" s="40">
        <f t="shared" si="14"/>
        <v>6.6726029327588603E-4</v>
      </c>
      <c r="AX14" s="32">
        <f t="shared" si="3"/>
        <v>9.1988432845687019E-3</v>
      </c>
      <c r="AY14" s="31">
        <f t="shared" si="12"/>
        <v>1.5130750740827422E-2</v>
      </c>
      <c r="AZ14" s="32">
        <f t="shared" si="13"/>
        <v>2.1399709518315577E-2</v>
      </c>
      <c r="BA14" s="36">
        <f t="shared" si="8"/>
        <v>35.266956165001808</v>
      </c>
      <c r="BB14" s="37">
        <f t="shared" si="9"/>
        <v>49.878729116182413</v>
      </c>
      <c r="BC14" s="36">
        <f t="shared" si="15"/>
        <v>4.9532241804777826</v>
      </c>
      <c r="BD14" s="37">
        <f t="shared" si="16"/>
        <v>7.0054394826098898</v>
      </c>
      <c r="BF14" s="27">
        <f>1/7.12</f>
        <v>0.1404494382022472</v>
      </c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</row>
    <row r="15" spans="1:78" x14ac:dyDescent="0.25">
      <c r="A15">
        <v>692.75</v>
      </c>
      <c r="B15">
        <v>743</v>
      </c>
      <c r="C15">
        <v>6.9924999999999997</v>
      </c>
      <c r="D15">
        <v>522</v>
      </c>
      <c r="E15">
        <v>1297.75</v>
      </c>
      <c r="F15">
        <v>359</v>
      </c>
      <c r="G15">
        <v>68.36</v>
      </c>
      <c r="H15">
        <v>4624</v>
      </c>
      <c r="I15">
        <v>9571</v>
      </c>
      <c r="J15">
        <v>3347</v>
      </c>
      <c r="K15">
        <v>8855</v>
      </c>
      <c r="L15">
        <v>2298</v>
      </c>
      <c r="M15">
        <v>10044</v>
      </c>
      <c r="N15">
        <v>557.75</v>
      </c>
      <c r="O15">
        <v>837.1</v>
      </c>
      <c r="P15">
        <v>2.145</v>
      </c>
      <c r="Q15">
        <v>4.3323</v>
      </c>
      <c r="R15">
        <v>1297.25</v>
      </c>
      <c r="S15">
        <v>87.25</v>
      </c>
      <c r="T15">
        <v>93.51</v>
      </c>
      <c r="U15">
        <v>2.9459</v>
      </c>
      <c r="AE15" t="str">
        <v>/COIF6</v>
      </c>
      <c r="AF15" s="25">
        <v>8.9333333333333336</v>
      </c>
      <c r="AG15" s="25">
        <v>78.140869461671514</v>
      </c>
      <c r="AH15" s="25">
        <v>-172.84951221133772</v>
      </c>
      <c r="AI15" s="25">
        <v>-119.5969592176306</v>
      </c>
      <c r="AJ15" s="25">
        <v>137.46362588429727</v>
      </c>
      <c r="AK15" s="25">
        <v>190.7161788780044</v>
      </c>
      <c r="AL15" s="25"/>
      <c r="AM15" s="24" t="str">
        <v>/COIF6</v>
      </c>
      <c r="AN15" s="24">
        <v>9.1709065508135035E-4</v>
      </c>
      <c r="AO15" s="24">
        <v>7.6943752183666102E-3</v>
      </c>
      <c r="AP15" s="24">
        <v>-1.6982702775924102E-2</v>
      </c>
      <c r="AQ15" s="24">
        <v>-1.1739030330347885E-2</v>
      </c>
      <c r="AR15" s="24">
        <v>1.3573211640510587E-2</v>
      </c>
      <c r="AS15" s="24">
        <v>1.88168840860868E-2</v>
      </c>
      <c r="AT15" s="24"/>
      <c r="AU15" s="31" t="s">
        <v>391</v>
      </c>
      <c r="AV15" s="40" t="s">
        <v>381</v>
      </c>
      <c r="AW15" s="40">
        <f t="shared" si="14"/>
        <v>9.1709065508135035E-4</v>
      </c>
      <c r="AX15" s="32">
        <f t="shared" si="3"/>
        <v>7.6943752183666102E-3</v>
      </c>
      <c r="AY15" s="31">
        <f t="shared" si="12"/>
        <v>1.2656120985429236E-2</v>
      </c>
      <c r="AZ15" s="32">
        <f t="shared" si="13"/>
        <v>1.7899793431005451E-2</v>
      </c>
      <c r="BA15" s="36">
        <f t="shared" si="8"/>
        <v>128.53029255096394</v>
      </c>
      <c r="BB15" s="37">
        <f t="shared" si="9"/>
        <v>181.78284554467106</v>
      </c>
      <c r="BC15" s="36">
        <f t="shared" si="15"/>
        <v>18.052007380753363</v>
      </c>
      <c r="BD15" s="37">
        <f t="shared" si="16"/>
        <v>25.531298531554928</v>
      </c>
      <c r="BF15" s="27">
        <f>1/7.12</f>
        <v>0.1404494382022472</v>
      </c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</row>
    <row r="16" spans="1:78" x14ac:dyDescent="0.25">
      <c r="A16">
        <v>688.75</v>
      </c>
      <c r="B16">
        <v>745.75</v>
      </c>
      <c r="C16">
        <v>7.0175000000000001</v>
      </c>
      <c r="D16">
        <v>523</v>
      </c>
      <c r="E16">
        <v>1288.25</v>
      </c>
      <c r="F16">
        <v>359.4</v>
      </c>
      <c r="G16">
        <v>67.66</v>
      </c>
      <c r="H16">
        <v>4664</v>
      </c>
      <c r="I16">
        <v>9675</v>
      </c>
      <c r="J16">
        <v>3386</v>
      </c>
      <c r="K16">
        <v>8883</v>
      </c>
      <c r="L16">
        <v>2337</v>
      </c>
      <c r="M16">
        <v>10134</v>
      </c>
      <c r="N16">
        <v>548.25</v>
      </c>
      <c r="O16">
        <v>821.8</v>
      </c>
      <c r="P16">
        <v>2.1850000000000001</v>
      </c>
      <c r="Q16">
        <v>4.3681000000000001</v>
      </c>
      <c r="R16">
        <v>1336.75</v>
      </c>
      <c r="S16">
        <v>89.01</v>
      </c>
      <c r="T16">
        <v>94.4</v>
      </c>
      <c r="U16">
        <v>2.968</v>
      </c>
      <c r="AE16" t="str">
        <v>/COMG6</v>
      </c>
      <c r="AF16" s="25">
        <v>3.3333333333333333E-2</v>
      </c>
      <c r="AG16" s="25">
        <v>5.8780809928234303</v>
      </c>
      <c r="AH16" s="25">
        <v>-13.641127887521264</v>
      </c>
      <c r="AI16" s="25">
        <v>-9.6352495075120466</v>
      </c>
      <c r="AJ16" s="25">
        <v>9.701916174178713</v>
      </c>
      <c r="AK16" s="25">
        <v>13.707794554187931</v>
      </c>
      <c r="AL16" s="25"/>
      <c r="AM16" s="24" t="str">
        <v>/COMG6</v>
      </c>
      <c r="AN16" s="24">
        <v>1.187052700616531E-4</v>
      </c>
      <c r="AO16" s="24">
        <v>1.0862367920824526E-2</v>
      </c>
      <c r="AP16" s="24">
        <v>-2.5150941249154284E-2</v>
      </c>
      <c r="AQ16" s="24">
        <v>-1.7748300002315018E-2</v>
      </c>
      <c r="AR16" s="24">
        <v>1.7985710542438325E-2</v>
      </c>
      <c r="AS16" s="24">
        <v>2.5388351789277591E-2</v>
      </c>
      <c r="AT16" s="24"/>
      <c r="AU16" s="31" t="s">
        <v>402</v>
      </c>
      <c r="AV16" s="40" t="s">
        <v>399</v>
      </c>
      <c r="AW16" s="40">
        <f t="shared" si="14"/>
        <v>1.187052700616531E-4</v>
      </c>
      <c r="AX16" s="32">
        <f t="shared" si="3"/>
        <v>1.0862367920824526E-2</v>
      </c>
      <c r="AY16" s="31">
        <f t="shared" si="12"/>
        <v>1.7867005272376672E-2</v>
      </c>
      <c r="AZ16" s="32">
        <f t="shared" si="13"/>
        <v>2.5269646519215937E-2</v>
      </c>
      <c r="BA16" s="36">
        <f t="shared" si="8"/>
        <v>9.6685828408453798</v>
      </c>
      <c r="BB16" s="37">
        <f t="shared" si="9"/>
        <v>13.674461220854598</v>
      </c>
      <c r="BC16" s="36">
        <f t="shared" si="15"/>
        <v>11.176881764017258</v>
      </c>
      <c r="BD16" s="37">
        <f t="shared" si="16"/>
        <v>15.807677171307914</v>
      </c>
      <c r="BF16" s="27">
        <v>1.1559999999999999</v>
      </c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</row>
    <row r="17" spans="1:78" x14ac:dyDescent="0.25">
      <c r="A17">
        <v>703.25</v>
      </c>
      <c r="B17">
        <v>762</v>
      </c>
      <c r="C17">
        <v>7.1349999999999998</v>
      </c>
      <c r="D17">
        <v>528.25</v>
      </c>
      <c r="E17">
        <v>1319</v>
      </c>
      <c r="F17">
        <v>371</v>
      </c>
      <c r="G17">
        <v>67.84</v>
      </c>
      <c r="H17">
        <v>4672</v>
      </c>
      <c r="N17">
        <v>557.5</v>
      </c>
      <c r="O17">
        <v>841.4</v>
      </c>
      <c r="P17">
        <v>2.21</v>
      </c>
      <c r="Q17">
        <v>4.3746</v>
      </c>
      <c r="R17">
        <v>1346.25</v>
      </c>
      <c r="S17">
        <v>88.71</v>
      </c>
      <c r="T17">
        <v>94.11</v>
      </c>
      <c r="U17">
        <v>2.9826999999999999</v>
      </c>
      <c r="AE17" t="str">
        <v>/RSF6</v>
      </c>
      <c r="AF17" s="25">
        <v>0.40333333333333221</v>
      </c>
      <c r="AG17" s="25">
        <v>13.310846433204816</v>
      </c>
      <c r="AH17" s="25">
        <v>-30.562325967693177</v>
      </c>
      <c r="AI17" s="25">
        <v>-21.491060700763622</v>
      </c>
      <c r="AJ17" s="25">
        <v>22.297727367430287</v>
      </c>
      <c r="AK17" s="25">
        <v>31.368992634359842</v>
      </c>
      <c r="AL17" s="25"/>
      <c r="AM17" s="24" t="str">
        <v>/RSF6</v>
      </c>
      <c r="AN17" s="24">
        <v>6.3757119382052416E-4</v>
      </c>
      <c r="AO17" s="24">
        <v>1.6239282536706225E-2</v>
      </c>
      <c r="AP17" s="24">
        <v>-3.7140649210731333E-2</v>
      </c>
      <c r="AQ17" s="24">
        <v>-2.6073671586558472E-2</v>
      </c>
      <c r="AR17" s="24">
        <v>2.7348813974199523E-2</v>
      </c>
      <c r="AS17" s="24">
        <v>3.8415791598372384E-2</v>
      </c>
      <c r="AT17" s="24"/>
      <c r="AU17" s="31" t="s">
        <v>401</v>
      </c>
      <c r="AV17" s="40" t="s">
        <v>400</v>
      </c>
      <c r="AW17" s="40">
        <f t="shared" si="14"/>
        <v>6.3757119382052416E-4</v>
      </c>
      <c r="AX17" s="32">
        <f t="shared" si="3"/>
        <v>1.6239282536706225E-2</v>
      </c>
      <c r="AY17" s="31">
        <f t="shared" si="12"/>
        <v>2.6711242780378997E-2</v>
      </c>
      <c r="AZ17" s="32">
        <f t="shared" si="13"/>
        <v>3.7778220404551859E-2</v>
      </c>
      <c r="BA17" s="36">
        <f t="shared" si="8"/>
        <v>21.894394034096955</v>
      </c>
      <c r="BB17" s="37">
        <f t="shared" si="9"/>
        <v>30.965659301026509</v>
      </c>
      <c r="BC17" s="36">
        <f t="shared" si="15"/>
        <v>15.624344561547815</v>
      </c>
      <c r="BD17" s="37">
        <f t="shared" si="16"/>
        <v>22.097808678389001</v>
      </c>
      <c r="BF17" s="27">
        <f>1/1.4013</f>
        <v>0.71362306429743805</v>
      </c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</row>
    <row r="18" spans="1:78" x14ac:dyDescent="0.25">
      <c r="A18">
        <v>707</v>
      </c>
      <c r="B18">
        <v>767</v>
      </c>
      <c r="C18">
        <v>7.2024999999999997</v>
      </c>
      <c r="D18">
        <v>527.5</v>
      </c>
      <c r="E18">
        <v>1317.5</v>
      </c>
      <c r="F18">
        <v>372.4</v>
      </c>
      <c r="G18">
        <v>67.55</v>
      </c>
      <c r="H18">
        <v>4772</v>
      </c>
      <c r="I18">
        <v>9787</v>
      </c>
      <c r="J18">
        <v>3405</v>
      </c>
      <c r="K18">
        <v>8943</v>
      </c>
      <c r="L18">
        <v>2347</v>
      </c>
      <c r="M18">
        <v>10236</v>
      </c>
      <c r="N18">
        <v>557.75</v>
      </c>
      <c r="O18">
        <v>841.2</v>
      </c>
      <c r="P18">
        <v>2.1800000000000002</v>
      </c>
      <c r="Q18">
        <v>4.4196999999999997</v>
      </c>
      <c r="R18">
        <v>1385.5</v>
      </c>
      <c r="S18">
        <v>90.9</v>
      </c>
      <c r="T18">
        <v>96.42</v>
      </c>
      <c r="U18">
        <v>3.0950000000000002</v>
      </c>
      <c r="AE18" t="str">
        <v>/CUUZ25</v>
      </c>
      <c r="AF18" s="25">
        <v>3.5416666666666652E-3</v>
      </c>
      <c r="AG18" s="25">
        <v>2.3162523000558773E-2</v>
      </c>
      <c r="AH18" s="25">
        <v>-5.0342419472159339E-2</v>
      </c>
      <c r="AI18" s="25">
        <v>-3.4557293301273356E-2</v>
      </c>
      <c r="AJ18" s="25">
        <v>4.1640626634606687E-2</v>
      </c>
      <c r="AK18" s="25">
        <v>5.7425752805492669E-2</v>
      </c>
      <c r="AL18" s="25"/>
      <c r="AM18" s="24" t="str">
        <v>/CUUZ25</v>
      </c>
      <c r="AN18" s="24">
        <v>1.824093616594626E-3</v>
      </c>
      <c r="AO18" s="24">
        <v>1.1249486844742491E-2</v>
      </c>
      <c r="AP18" s="24">
        <v>-2.4346126188263036E-2</v>
      </c>
      <c r="AQ18" s="24">
        <v>-1.6679665621868848E-2</v>
      </c>
      <c r="AR18" s="24">
        <v>2.0327852855058098E-2</v>
      </c>
      <c r="AS18" s="24">
        <v>2.7994313421452286E-2</v>
      </c>
      <c r="AT18" s="24"/>
      <c r="AU18" s="31" t="s">
        <v>403</v>
      </c>
      <c r="AV18" s="40" t="s">
        <v>383</v>
      </c>
      <c r="AW18" s="40">
        <f t="shared" si="14"/>
        <v>1.824093616594626E-3</v>
      </c>
      <c r="AX18" s="32">
        <f t="shared" si="3"/>
        <v>1.1249486844742491E-2</v>
      </c>
      <c r="AY18" s="31">
        <f t="shared" si="12"/>
        <v>1.8503759238463473E-2</v>
      </c>
      <c r="AZ18" s="32">
        <f t="shared" si="13"/>
        <v>2.6170219804857661E-2</v>
      </c>
      <c r="BA18" s="36">
        <f t="shared" si="8"/>
        <v>3.8098959967940021E-2</v>
      </c>
      <c r="BB18" s="37">
        <f t="shared" si="9"/>
        <v>5.3884086138826004E-2</v>
      </c>
      <c r="BC18" s="36">
        <f t="shared" si="15"/>
        <v>12.75553179726632</v>
      </c>
      <c r="BD18" s="37">
        <f t="shared" si="16"/>
        <v>18.040392039278945</v>
      </c>
      <c r="BF18" s="27">
        <v>334.8</v>
      </c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</row>
    <row r="19" spans="1:78" x14ac:dyDescent="0.25">
      <c r="A19">
        <v>708.5</v>
      </c>
      <c r="B19">
        <v>771.75</v>
      </c>
      <c r="C19">
        <v>7.2874999999999996</v>
      </c>
      <c r="D19">
        <v>529</v>
      </c>
      <c r="E19">
        <v>1318</v>
      </c>
      <c r="F19">
        <v>370.6</v>
      </c>
      <c r="G19">
        <v>67.81</v>
      </c>
      <c r="H19">
        <v>4768</v>
      </c>
      <c r="I19">
        <v>9740</v>
      </c>
      <c r="J19">
        <v>3414</v>
      </c>
      <c r="K19">
        <v>8927</v>
      </c>
      <c r="L19">
        <v>2361</v>
      </c>
      <c r="M19">
        <v>10145</v>
      </c>
      <c r="N19">
        <v>561.75</v>
      </c>
      <c r="O19">
        <v>837.2</v>
      </c>
      <c r="P19">
        <v>2.1749999999999998</v>
      </c>
      <c r="Q19">
        <v>4.5171000000000001</v>
      </c>
      <c r="R19">
        <v>1344</v>
      </c>
      <c r="S19">
        <v>89.51</v>
      </c>
      <c r="T19">
        <v>95.03</v>
      </c>
      <c r="U19">
        <v>3.0750999999999999</v>
      </c>
      <c r="AE19" t="str">
        <v>/HOZ25</v>
      </c>
      <c r="AF19" s="25">
        <v>1.7825000000000011E-2</v>
      </c>
      <c r="AG19" s="25">
        <v>9.9775564456994495E-2</v>
      </c>
      <c r="AH19" s="25">
        <v>-0.21428767225167911</v>
      </c>
      <c r="AI19" s="25">
        <v>-0.14629119908305968</v>
      </c>
      <c r="AJ19" s="25">
        <v>0.1819411990830597</v>
      </c>
      <c r="AK19" s="25">
        <v>0.24993767225167912</v>
      </c>
      <c r="AL19" s="25"/>
      <c r="AM19" s="24" t="str">
        <v>/HOZ25</v>
      </c>
      <c r="AN19" s="24">
        <v>4.6007421599975062E-3</v>
      </c>
      <c r="AO19" s="24">
        <v>2.4186073066337056E-2</v>
      </c>
      <c r="AP19" s="24">
        <v>-5.1664477498284365E-2</v>
      </c>
      <c r="AQ19" s="24">
        <v>-3.5181807846054014E-2</v>
      </c>
      <c r="AR19" s="24">
        <v>4.4383292166049026E-2</v>
      </c>
      <c r="AS19" s="24">
        <v>6.0865961818279378E-2</v>
      </c>
      <c r="AT19" s="24"/>
      <c r="AU19" s="31" t="s">
        <v>403</v>
      </c>
      <c r="AV19" s="40" t="s">
        <v>384</v>
      </c>
      <c r="AW19" s="40">
        <f t="shared" si="14"/>
        <v>4.6007421599975062E-3</v>
      </c>
      <c r="AX19" s="32">
        <f t="shared" si="3"/>
        <v>2.4186073066337056E-2</v>
      </c>
      <c r="AY19" s="31">
        <f t="shared" si="12"/>
        <v>3.978255000605152E-2</v>
      </c>
      <c r="AZ19" s="32">
        <f t="shared" si="13"/>
        <v>5.6265219658281872E-2</v>
      </c>
      <c r="BA19" s="36">
        <f t="shared" si="8"/>
        <v>0.16411619908305969</v>
      </c>
      <c r="BB19" s="37">
        <f t="shared" si="9"/>
        <v>0.23211267225167911</v>
      </c>
      <c r="BC19" s="36">
        <f t="shared" si="10"/>
        <v>51.02372629492325</v>
      </c>
      <c r="BD19" s="37">
        <f t="shared" si="11"/>
        <v>72.163829803047037</v>
      </c>
      <c r="BF19" s="27">
        <v>310.89999999999998</v>
      </c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</row>
    <row r="20" spans="1:78" x14ac:dyDescent="0.25">
      <c r="A20">
        <v>717.25</v>
      </c>
      <c r="B20">
        <v>781.25</v>
      </c>
      <c r="C20">
        <v>7.3624999999999998</v>
      </c>
      <c r="D20">
        <v>536.75</v>
      </c>
      <c r="E20">
        <v>1325.5</v>
      </c>
      <c r="F20">
        <v>370.7</v>
      </c>
      <c r="G20">
        <v>67.92</v>
      </c>
      <c r="H20">
        <v>4810</v>
      </c>
      <c r="I20">
        <v>9859</v>
      </c>
      <c r="J20">
        <v>3410</v>
      </c>
      <c r="K20">
        <v>8946</v>
      </c>
      <c r="L20">
        <v>2362</v>
      </c>
      <c r="M20">
        <v>10243</v>
      </c>
      <c r="N20">
        <v>560</v>
      </c>
      <c r="O20">
        <v>836.1</v>
      </c>
      <c r="P20">
        <v>2.1850000000000001</v>
      </c>
      <c r="Q20">
        <v>4.5488999999999997</v>
      </c>
      <c r="R20">
        <v>1311</v>
      </c>
      <c r="S20">
        <v>87.98</v>
      </c>
      <c r="T20">
        <v>92.74</v>
      </c>
      <c r="U20">
        <v>2.9699</v>
      </c>
      <c r="AE20" t="str">
        <v>/LGOZ5</v>
      </c>
      <c r="AF20" s="25">
        <v>6.1</v>
      </c>
      <c r="AG20" s="25">
        <v>32.39615744110948</v>
      </c>
      <c r="AH20" s="25">
        <v>-69.264731988894326</v>
      </c>
      <c r="AI20" s="25">
        <v>-47.186937067871966</v>
      </c>
      <c r="AJ20" s="25">
        <v>59.386937067871969</v>
      </c>
      <c r="AK20" s="25">
        <v>81.464731988894314</v>
      </c>
      <c r="AL20" s="25"/>
      <c r="AM20" s="24" t="str">
        <v>/LGOZ5</v>
      </c>
      <c r="AN20" s="24">
        <v>5.5420811263124483E-3</v>
      </c>
      <c r="AO20" s="24">
        <v>2.6631239935538318E-2</v>
      </c>
      <c r="AP20" s="24">
        <v>-5.6411447279711015E-2</v>
      </c>
      <c r="AQ20" s="24">
        <v>-3.8262410473164997E-2</v>
      </c>
      <c r="AR20" s="24">
        <v>4.9346572725789899E-2</v>
      </c>
      <c r="AS20" s="24">
        <v>6.749560953233591E-2</v>
      </c>
      <c r="AT20" s="24"/>
      <c r="AU20" s="31" t="s">
        <v>364</v>
      </c>
      <c r="AV20" s="40" t="s">
        <v>385</v>
      </c>
      <c r="AW20" s="40">
        <f t="shared" si="14"/>
        <v>5.5420811263124483E-3</v>
      </c>
      <c r="AX20" s="32">
        <f t="shared" si="3"/>
        <v>2.6631239935538318E-2</v>
      </c>
      <c r="AY20" s="31">
        <f t="shared" si="12"/>
        <v>4.3804491599477448E-2</v>
      </c>
      <c r="AZ20" s="32">
        <f t="shared" si="13"/>
        <v>6.1953528406023459E-2</v>
      </c>
      <c r="BA20" s="36">
        <f t="shared" si="8"/>
        <v>53.286937067871968</v>
      </c>
      <c r="BB20" s="37">
        <f t="shared" si="9"/>
        <v>75.36473198889432</v>
      </c>
      <c r="BC20" s="36">
        <f t="shared" si="10"/>
        <v>53.286937067871968</v>
      </c>
      <c r="BD20" s="37">
        <f t="shared" si="11"/>
        <v>75.36473198889432</v>
      </c>
      <c r="BF20" s="27">
        <v>1</v>
      </c>
      <c r="BN20"/>
      <c r="BO20"/>
    </row>
    <row r="21" spans="1:78" x14ac:dyDescent="0.25">
      <c r="A21">
        <v>726.75</v>
      </c>
      <c r="B21">
        <v>794.5</v>
      </c>
      <c r="C21">
        <v>7.4625000000000004</v>
      </c>
      <c r="D21">
        <v>543</v>
      </c>
      <c r="E21">
        <v>1328</v>
      </c>
      <c r="F21">
        <v>368.4</v>
      </c>
      <c r="G21">
        <v>68.849999999999994</v>
      </c>
      <c r="H21">
        <v>4857</v>
      </c>
      <c r="I21">
        <v>9876</v>
      </c>
      <c r="J21">
        <v>3391</v>
      </c>
      <c r="K21">
        <v>8897</v>
      </c>
      <c r="L21">
        <v>2347</v>
      </c>
      <c r="M21">
        <v>10186</v>
      </c>
      <c r="N21">
        <v>563.25</v>
      </c>
      <c r="O21">
        <v>846.8</v>
      </c>
      <c r="P21">
        <v>2.19</v>
      </c>
      <c r="Q21">
        <v>4.4851000000000001</v>
      </c>
      <c r="R21">
        <v>1305.75</v>
      </c>
      <c r="S21">
        <v>89.16</v>
      </c>
      <c r="T21">
        <v>93.4</v>
      </c>
      <c r="U21">
        <v>2.9445000000000001</v>
      </c>
      <c r="AE21" t="str">
        <v>/CLF26</v>
      </c>
      <c r="AF21" s="25">
        <v>0.31166666666666648</v>
      </c>
      <c r="AG21" s="25">
        <v>1.849485651509966</v>
      </c>
      <c r="AH21" s="25">
        <v>-3.9908803467170477</v>
      </c>
      <c r="AI21" s="25">
        <v>-2.7304665153039593</v>
      </c>
      <c r="AJ21" s="25">
        <v>3.3537998486372924</v>
      </c>
      <c r="AK21" s="25">
        <v>4.6142136800503808</v>
      </c>
      <c r="AL21" s="25"/>
      <c r="AM21" s="24" t="str">
        <v>/CLF26</v>
      </c>
      <c r="AN21" s="24">
        <v>3.7615329815705052E-3</v>
      </c>
      <c r="AO21" s="24">
        <v>2.2116392074770903E-2</v>
      </c>
      <c r="AP21" s="24">
        <v>-4.768888870212324E-2</v>
      </c>
      <c r="AQ21" s="24">
        <v>-3.261669473877047E-2</v>
      </c>
      <c r="AR21" s="24">
        <v>4.0139760701911477E-2</v>
      </c>
      <c r="AS21" s="24">
        <v>5.5211954665264247E-2</v>
      </c>
      <c r="AT21" s="24"/>
      <c r="AU21" s="31" t="s">
        <v>392</v>
      </c>
      <c r="AV21" s="40" t="s">
        <v>386</v>
      </c>
      <c r="AW21" s="40">
        <f t="shared" si="14"/>
        <v>3.7615329815705052E-3</v>
      </c>
      <c r="AX21" s="32">
        <f t="shared" si="3"/>
        <v>2.2116392074770903E-2</v>
      </c>
      <c r="AY21" s="31">
        <f t="shared" si="12"/>
        <v>3.6378227720340973E-2</v>
      </c>
      <c r="AZ21" s="32">
        <f t="shared" si="13"/>
        <v>5.1450421683693744E-2</v>
      </c>
      <c r="BA21" s="36">
        <f t="shared" si="8"/>
        <v>3.0421331819706259</v>
      </c>
      <c r="BB21" s="37">
        <f t="shared" si="9"/>
        <v>4.3025470133837143</v>
      </c>
      <c r="BC21" s="36">
        <f t="shared" si="10"/>
        <v>22.755156201140284</v>
      </c>
      <c r="BD21" s="37">
        <f t="shared" si="11"/>
        <v>32.183051660110188</v>
      </c>
      <c r="BF21" s="27">
        <v>7.48</v>
      </c>
      <c r="BN21"/>
      <c r="BO21"/>
    </row>
    <row r="22" spans="1:78" x14ac:dyDescent="0.25">
      <c r="A22">
        <v>714.25</v>
      </c>
      <c r="B22">
        <v>783.75</v>
      </c>
      <c r="C22">
        <v>7.4124999999999996</v>
      </c>
      <c r="D22">
        <v>527.5</v>
      </c>
      <c r="E22">
        <v>1303.5</v>
      </c>
      <c r="F22">
        <v>358.6</v>
      </c>
      <c r="G22">
        <v>68.22</v>
      </c>
      <c r="H22">
        <v>4898</v>
      </c>
      <c r="I22">
        <v>9907</v>
      </c>
      <c r="J22">
        <v>3429</v>
      </c>
      <c r="K22">
        <v>8905</v>
      </c>
      <c r="L22">
        <v>2389</v>
      </c>
      <c r="M22">
        <v>10113</v>
      </c>
      <c r="N22">
        <v>557.25</v>
      </c>
      <c r="O22">
        <v>833</v>
      </c>
      <c r="P22">
        <v>2.16</v>
      </c>
      <c r="Q22">
        <v>4.5875000000000004</v>
      </c>
      <c r="R22">
        <v>1351.75</v>
      </c>
      <c r="S22">
        <v>92.05</v>
      </c>
      <c r="T22">
        <v>96.03</v>
      </c>
      <c r="U22">
        <v>3.0015000000000001</v>
      </c>
      <c r="AE22" t="str">
        <v>/LCOJ6</v>
      </c>
      <c r="AF22" s="25">
        <v>0.38466666666666666</v>
      </c>
      <c r="AG22" s="25">
        <v>1.874101336430086</v>
      </c>
      <c r="AH22" s="25">
        <v>-3.9751449929980232</v>
      </c>
      <c r="AI22" s="25">
        <v>-2.6979557139259076</v>
      </c>
      <c r="AJ22" s="25">
        <v>3.4672890472592406</v>
      </c>
      <c r="AK22" s="25">
        <v>4.7444783263313566</v>
      </c>
      <c r="AL22" s="25"/>
      <c r="AM22" s="24" t="str">
        <v>/LCOJ6</v>
      </c>
      <c r="AN22" s="24">
        <v>4.2874950037586641E-3</v>
      </c>
      <c r="AO22" s="24">
        <v>2.1319156231136043E-2</v>
      </c>
      <c r="AP22" s="24">
        <v>-4.5308278770018529E-2</v>
      </c>
      <c r="AQ22" s="24">
        <v>-3.0779396447605106E-2</v>
      </c>
      <c r="AR22" s="24">
        <v>3.9354386455122431E-2</v>
      </c>
      <c r="AS22" s="24">
        <v>5.3883268777535853E-2</v>
      </c>
      <c r="AT22" s="24"/>
      <c r="AU22" s="31" t="s">
        <v>392</v>
      </c>
      <c r="AV22" s="40" t="s">
        <v>622</v>
      </c>
      <c r="AW22" s="40">
        <f t="shared" ref="AW22" si="17">AN22</f>
        <v>4.2874950037586641E-3</v>
      </c>
      <c r="AX22" s="32">
        <f t="shared" ref="AX22" si="18">AO22</f>
        <v>2.1319156231136043E-2</v>
      </c>
      <c r="AY22" s="31">
        <f t="shared" ref="AY22" si="19">AVERAGE(ABS(AQ22),AR22)</f>
        <v>3.5066891451363769E-2</v>
      </c>
      <c r="AZ22" s="32">
        <f t="shared" ref="AZ22" si="20">AVERAGE(ABS(AP22),AS22)</f>
        <v>4.9595773773777191E-2</v>
      </c>
      <c r="BA22" s="36">
        <f t="shared" ref="BA22" si="21">AVERAGE(ABS(AI22),AJ22)</f>
        <v>3.0826223805925741</v>
      </c>
      <c r="BB22" s="37">
        <f t="shared" ref="BB22" si="22">AVERAGE(ABS(AH22),AK22)</f>
        <v>4.3598116596646896</v>
      </c>
      <c r="BC22" s="36">
        <f t="shared" si="10"/>
        <v>23.058015406832457</v>
      </c>
      <c r="BD22" s="37">
        <f t="shared" si="11"/>
        <v>32.611391214291878</v>
      </c>
      <c r="BF22" s="27">
        <v>7.48</v>
      </c>
      <c r="BN22"/>
      <c r="BO22"/>
    </row>
    <row r="23" spans="1:78" x14ac:dyDescent="0.25">
      <c r="A23">
        <v>727</v>
      </c>
      <c r="B23">
        <v>794.5</v>
      </c>
      <c r="C23">
        <v>7.5250000000000004</v>
      </c>
      <c r="D23">
        <v>530.5</v>
      </c>
      <c r="E23">
        <v>1319.75</v>
      </c>
      <c r="F23">
        <v>371.3</v>
      </c>
      <c r="G23">
        <v>69.150000000000006</v>
      </c>
      <c r="H23">
        <v>4936</v>
      </c>
      <c r="I23">
        <v>10070</v>
      </c>
      <c r="J23">
        <v>3480</v>
      </c>
      <c r="K23">
        <v>9017</v>
      </c>
      <c r="L23">
        <v>2421</v>
      </c>
      <c r="M23">
        <v>10211</v>
      </c>
      <c r="N23">
        <v>556</v>
      </c>
      <c r="O23">
        <v>844.1</v>
      </c>
      <c r="P23">
        <v>2.1349999999999998</v>
      </c>
      <c r="Q23">
        <v>4.6261999999999999</v>
      </c>
      <c r="R23">
        <v>1338.25</v>
      </c>
      <c r="S23">
        <v>92.61</v>
      </c>
      <c r="T23">
        <v>96.15</v>
      </c>
      <c r="U23">
        <v>2.9994000000000001</v>
      </c>
      <c r="AE23" t="str">
        <v>/RBG26</v>
      </c>
      <c r="AF23" s="25">
        <v>7.5733333333333286E-3</v>
      </c>
      <c r="AG23" s="25">
        <v>5.7207412897241551E-2</v>
      </c>
      <c r="AH23" s="25">
        <v>-0.12551101003720475</v>
      </c>
      <c r="AI23" s="25">
        <v>-8.6524487261981017E-2</v>
      </c>
      <c r="AJ23" s="25">
        <v>0.10167115392864769</v>
      </c>
      <c r="AK23" s="25">
        <v>0.14065767670387139</v>
      </c>
      <c r="AL23" s="25"/>
      <c r="AM23" s="24" t="str">
        <v>/RBG26</v>
      </c>
      <c r="AN23" s="24">
        <v>2.836047862275942E-3</v>
      </c>
      <c r="AO23" s="24">
        <v>2.0465027316133977E-2</v>
      </c>
      <c r="AP23" s="24">
        <v>-4.4772724925964263E-2</v>
      </c>
      <c r="AQ23" s="24">
        <v>-3.0825926545321108E-2</v>
      </c>
      <c r="AR23" s="24">
        <v>3.649802226987299E-2</v>
      </c>
      <c r="AS23" s="24">
        <v>5.0444820650516142E-2</v>
      </c>
      <c r="AT23" s="24"/>
      <c r="AU23" s="31" t="s">
        <v>392</v>
      </c>
      <c r="AV23" s="40" t="s">
        <v>519</v>
      </c>
      <c r="AW23" s="40">
        <f t="shared" ref="AW23" si="23">AN23</f>
        <v>2.836047862275942E-3</v>
      </c>
      <c r="AX23" s="32">
        <f t="shared" ref="AX23" si="24">AO23</f>
        <v>2.0465027316133977E-2</v>
      </c>
      <c r="AY23" s="31">
        <f t="shared" ref="AY23" si="25">AVERAGE(ABS(AQ23),AR23)</f>
        <v>3.3661974407597051E-2</v>
      </c>
      <c r="AZ23" s="32">
        <f t="shared" ref="AZ23" si="26">AVERAGE(ABS(AP23),AS23)</f>
        <v>4.7608772788240203E-2</v>
      </c>
      <c r="BA23" s="36">
        <f t="shared" ref="BA23" si="27">AVERAGE(ABS(AI23),AJ23)</f>
        <v>9.4097820595314352E-2</v>
      </c>
      <c r="BB23" s="37">
        <f t="shared" ref="BB23" si="28">AVERAGE(ABS(AH23),AK23)</f>
        <v>0.13308434337053807</v>
      </c>
      <c r="BC23" s="36">
        <f t="shared" ref="BC23" si="29">BA23*BF23</f>
        <v>32.934237208360024</v>
      </c>
      <c r="BD23" s="37">
        <f t="shared" ref="BD23" si="30">BB23*BF23</f>
        <v>46.579520179688323</v>
      </c>
      <c r="BF23" s="27">
        <v>350</v>
      </c>
      <c r="BN23"/>
      <c r="BO23"/>
    </row>
    <row r="24" spans="1:78" x14ac:dyDescent="0.25">
      <c r="A24">
        <v>730.75</v>
      </c>
      <c r="B24">
        <v>799.5</v>
      </c>
      <c r="C24">
        <v>7.56</v>
      </c>
      <c r="D24">
        <v>534.25</v>
      </c>
      <c r="E24">
        <v>1320.5</v>
      </c>
      <c r="F24">
        <v>365.6</v>
      </c>
      <c r="G24">
        <v>69.67</v>
      </c>
      <c r="I24">
        <v>10066</v>
      </c>
      <c r="J24">
        <v>3434</v>
      </c>
      <c r="K24">
        <v>9000</v>
      </c>
      <c r="L24">
        <v>2372</v>
      </c>
      <c r="M24">
        <v>10169</v>
      </c>
      <c r="N24">
        <v>556.75</v>
      </c>
      <c r="O24">
        <v>837.8</v>
      </c>
      <c r="P24">
        <v>2.105</v>
      </c>
      <c r="Q24">
        <v>4.7154999999999996</v>
      </c>
      <c r="R24">
        <v>1364</v>
      </c>
      <c r="S24">
        <v>92.79</v>
      </c>
      <c r="T24">
        <v>96.69</v>
      </c>
      <c r="U24">
        <v>2.9870999999999999</v>
      </c>
      <c r="AI24" s="26"/>
      <c r="AJ24" s="26"/>
      <c r="BN24"/>
      <c r="BO24"/>
    </row>
    <row r="25" spans="1:78" x14ac:dyDescent="0.25">
      <c r="A25">
        <v>728.5</v>
      </c>
      <c r="B25">
        <v>796.25</v>
      </c>
      <c r="C25">
        <v>7.4850000000000003</v>
      </c>
      <c r="D25">
        <v>535.75</v>
      </c>
      <c r="E25">
        <v>1318.75</v>
      </c>
      <c r="F25">
        <v>365.4</v>
      </c>
      <c r="G25">
        <v>70.349999999999994</v>
      </c>
      <c r="H25">
        <v>4998</v>
      </c>
      <c r="I25">
        <v>10031</v>
      </c>
      <c r="J25">
        <v>3374</v>
      </c>
      <c r="K25">
        <v>8960</v>
      </c>
      <c r="L25">
        <v>2330</v>
      </c>
      <c r="M25">
        <v>10101</v>
      </c>
      <c r="N25">
        <v>558.5</v>
      </c>
      <c r="O25">
        <v>840.9</v>
      </c>
      <c r="P25">
        <v>2.105</v>
      </c>
      <c r="Q25">
        <v>4.7351999999999999</v>
      </c>
      <c r="R25">
        <v>1391.75</v>
      </c>
      <c r="S25">
        <v>95.51</v>
      </c>
      <c r="T25">
        <v>98.75</v>
      </c>
      <c r="U25">
        <v>3.0293000000000001</v>
      </c>
      <c r="AI25" s="26"/>
      <c r="AJ25" s="26"/>
      <c r="BN25"/>
      <c r="BO25"/>
    </row>
    <row r="26" spans="1:78" x14ac:dyDescent="0.25">
      <c r="A26">
        <v>722</v>
      </c>
      <c r="B26">
        <v>792.5</v>
      </c>
      <c r="C26">
        <v>7.3624999999999998</v>
      </c>
      <c r="D26">
        <v>533.25</v>
      </c>
      <c r="E26">
        <v>1304.25</v>
      </c>
      <c r="F26">
        <v>356.2</v>
      </c>
      <c r="G26">
        <v>70.19</v>
      </c>
      <c r="H26">
        <v>4958</v>
      </c>
      <c r="I26">
        <v>10038</v>
      </c>
      <c r="J26">
        <v>3384</v>
      </c>
      <c r="K26">
        <v>9024</v>
      </c>
      <c r="L26">
        <v>2349</v>
      </c>
      <c r="M26">
        <v>10192</v>
      </c>
      <c r="N26">
        <v>555.5</v>
      </c>
      <c r="O26">
        <v>834.3</v>
      </c>
      <c r="P26">
        <v>2.0699999999999998</v>
      </c>
      <c r="Q26">
        <v>4.54</v>
      </c>
      <c r="R26">
        <v>1320.25</v>
      </c>
      <c r="S26">
        <v>92.6</v>
      </c>
      <c r="T26">
        <v>96.85</v>
      </c>
      <c r="U26">
        <v>2.9521999999999999</v>
      </c>
      <c r="AI26" s="26"/>
      <c r="AJ26" s="26"/>
      <c r="BN26"/>
      <c r="BO26"/>
    </row>
    <row r="27" spans="1:78" x14ac:dyDescent="0.25">
      <c r="A27">
        <v>725.25</v>
      </c>
      <c r="B27">
        <v>798.5</v>
      </c>
      <c r="C27">
        <v>7.45</v>
      </c>
      <c r="D27">
        <v>530.25</v>
      </c>
      <c r="E27">
        <v>1296.5</v>
      </c>
      <c r="F27">
        <v>352.8</v>
      </c>
      <c r="G27">
        <v>69.680000000000007</v>
      </c>
      <c r="H27">
        <v>4944</v>
      </c>
      <c r="I27">
        <v>10151</v>
      </c>
      <c r="J27">
        <v>3422</v>
      </c>
      <c r="K27">
        <v>9103</v>
      </c>
      <c r="L27">
        <v>2369</v>
      </c>
      <c r="M27">
        <v>10226</v>
      </c>
      <c r="N27">
        <v>553</v>
      </c>
      <c r="O27">
        <v>827.1</v>
      </c>
      <c r="P27">
        <v>2.0649999999999999</v>
      </c>
      <c r="Q27">
        <v>4.5583999999999998</v>
      </c>
      <c r="R27">
        <v>1320.5</v>
      </c>
      <c r="S27">
        <v>91.43</v>
      </c>
      <c r="T27">
        <v>95.69</v>
      </c>
      <c r="U27">
        <v>2.9390000000000001</v>
      </c>
      <c r="AI27" s="26"/>
      <c r="AJ27" s="26"/>
      <c r="BN27"/>
      <c r="BO27"/>
    </row>
    <row r="28" spans="1:78" x14ac:dyDescent="0.25">
      <c r="A28">
        <v>741.25</v>
      </c>
      <c r="B28">
        <v>818.75</v>
      </c>
      <c r="C28">
        <v>7.625</v>
      </c>
      <c r="D28">
        <v>533.75</v>
      </c>
      <c r="E28">
        <v>1332.25</v>
      </c>
      <c r="F28">
        <v>356.9</v>
      </c>
      <c r="G28">
        <v>71.92</v>
      </c>
      <c r="H28">
        <v>5033</v>
      </c>
      <c r="I28">
        <v>10177</v>
      </c>
      <c r="J28">
        <v>3399</v>
      </c>
      <c r="K28">
        <v>9054</v>
      </c>
      <c r="L28">
        <v>2358</v>
      </c>
      <c r="M28">
        <v>10248</v>
      </c>
      <c r="N28">
        <v>559.25</v>
      </c>
      <c r="O28">
        <v>849.4</v>
      </c>
      <c r="P28">
        <v>2.06</v>
      </c>
      <c r="Q28">
        <v>4.6271000000000004</v>
      </c>
      <c r="R28">
        <v>1323.25</v>
      </c>
      <c r="S28">
        <v>93.93</v>
      </c>
      <c r="T28">
        <v>98.36</v>
      </c>
      <c r="U28">
        <v>3.024</v>
      </c>
      <c r="AI28" s="26"/>
      <c r="AJ28" s="26"/>
      <c r="BN28"/>
      <c r="BO28"/>
    </row>
    <row r="29" spans="1:78" x14ac:dyDescent="0.25">
      <c r="A29">
        <v>728.75</v>
      </c>
      <c r="B29">
        <v>806.25</v>
      </c>
      <c r="C29">
        <v>7.48</v>
      </c>
      <c r="D29">
        <v>527.75</v>
      </c>
      <c r="E29">
        <v>1309.5</v>
      </c>
      <c r="F29">
        <v>351.4</v>
      </c>
      <c r="G29">
        <v>70.569999999999993</v>
      </c>
      <c r="H29">
        <v>5109</v>
      </c>
      <c r="I29">
        <v>10306</v>
      </c>
      <c r="J29">
        <v>3397</v>
      </c>
      <c r="K29">
        <v>9122</v>
      </c>
      <c r="L29">
        <v>2376</v>
      </c>
      <c r="M29">
        <v>10392</v>
      </c>
      <c r="N29">
        <v>559</v>
      </c>
      <c r="O29">
        <v>841.2</v>
      </c>
      <c r="P29">
        <v>2.0299999999999998</v>
      </c>
      <c r="Q29">
        <v>4.4345999999999997</v>
      </c>
      <c r="R29">
        <v>1257.75</v>
      </c>
      <c r="S29">
        <v>89.32</v>
      </c>
      <c r="T29">
        <v>93.6</v>
      </c>
      <c r="U29">
        <v>2.8969</v>
      </c>
      <c r="AI29" s="26"/>
      <c r="AJ29" s="26"/>
      <c r="BN29"/>
      <c r="BO29"/>
    </row>
    <row r="30" spans="1:78" x14ac:dyDescent="0.25">
      <c r="A30">
        <v>747</v>
      </c>
      <c r="B30">
        <v>819</v>
      </c>
      <c r="C30">
        <v>7.54</v>
      </c>
      <c r="D30">
        <v>533.5</v>
      </c>
      <c r="E30">
        <v>1316.25</v>
      </c>
      <c r="F30">
        <v>349.8</v>
      </c>
      <c r="G30">
        <v>70.7</v>
      </c>
      <c r="H30">
        <v>5115</v>
      </c>
      <c r="I30">
        <v>10421</v>
      </c>
      <c r="J30">
        <v>3415</v>
      </c>
      <c r="K30">
        <v>9210</v>
      </c>
      <c r="L30">
        <v>2398</v>
      </c>
      <c r="M30">
        <v>10377</v>
      </c>
      <c r="N30">
        <v>558.75</v>
      </c>
      <c r="O30">
        <v>848.3</v>
      </c>
      <c r="P30">
        <v>2.0550000000000002</v>
      </c>
      <c r="Q30">
        <v>4.2526999999999999</v>
      </c>
      <c r="R30">
        <v>1225</v>
      </c>
      <c r="S30">
        <v>87.14</v>
      </c>
      <c r="T30">
        <v>91.3</v>
      </c>
      <c r="U30">
        <v>2.8931</v>
      </c>
      <c r="AI30" s="26"/>
      <c r="AJ30" s="26"/>
      <c r="BN30"/>
      <c r="BO30"/>
    </row>
    <row r="31" spans="1:78" x14ac:dyDescent="0.25">
      <c r="H31">
        <v>5110</v>
      </c>
      <c r="I31">
        <v>10264</v>
      </c>
      <c r="J31">
        <v>3404</v>
      </c>
      <c r="K31">
        <v>9142</v>
      </c>
      <c r="L31">
        <v>2400</v>
      </c>
      <c r="M31">
        <v>10238</v>
      </c>
      <c r="N31">
        <v>556.5</v>
      </c>
      <c r="R31">
        <v>1237.25</v>
      </c>
      <c r="T31">
        <v>89.94</v>
      </c>
      <c r="AI31" s="26"/>
      <c r="AJ31" s="26"/>
      <c r="BN31"/>
      <c r="BO31"/>
    </row>
    <row r="32" spans="1:78" x14ac:dyDescent="0.25">
      <c r="A32">
        <v>734</v>
      </c>
      <c r="B32">
        <v>802.25</v>
      </c>
      <c r="C32">
        <v>7.45</v>
      </c>
      <c r="D32">
        <v>536.75</v>
      </c>
      <c r="E32">
        <v>1309.75</v>
      </c>
      <c r="F32">
        <v>355.1</v>
      </c>
      <c r="G32">
        <v>69.27</v>
      </c>
      <c r="H32">
        <v>5054</v>
      </c>
      <c r="I32">
        <v>10212</v>
      </c>
      <c r="J32">
        <v>3402</v>
      </c>
      <c r="K32">
        <v>9144</v>
      </c>
      <c r="L32">
        <v>2397</v>
      </c>
      <c r="M32">
        <v>10152</v>
      </c>
      <c r="N32">
        <v>553.5</v>
      </c>
      <c r="O32">
        <v>832.7</v>
      </c>
      <c r="P32">
        <v>2.08</v>
      </c>
      <c r="Q32">
        <v>4.2091000000000003</v>
      </c>
      <c r="R32">
        <v>1200</v>
      </c>
      <c r="S32">
        <v>85.46</v>
      </c>
      <c r="T32">
        <v>89.15</v>
      </c>
      <c r="U32">
        <v>2.8344999999999998</v>
      </c>
      <c r="AI32" s="26"/>
      <c r="AJ32" s="26"/>
      <c r="BN32"/>
      <c r="BO32"/>
    </row>
    <row r="33" spans="1:67" x14ac:dyDescent="0.25">
      <c r="A33">
        <v>754.25</v>
      </c>
      <c r="B33">
        <v>815.5</v>
      </c>
      <c r="C33">
        <v>7.6550000000000002</v>
      </c>
      <c r="D33">
        <v>540.75</v>
      </c>
      <c r="E33">
        <v>1316.25</v>
      </c>
      <c r="F33">
        <v>355.5</v>
      </c>
      <c r="G33">
        <v>70.040000000000006</v>
      </c>
      <c r="H33">
        <v>5018</v>
      </c>
      <c r="I33">
        <v>10270</v>
      </c>
      <c r="J33">
        <v>3386</v>
      </c>
      <c r="K33">
        <v>9182</v>
      </c>
      <c r="L33">
        <v>2393</v>
      </c>
      <c r="M33">
        <v>10226</v>
      </c>
      <c r="N33">
        <v>553</v>
      </c>
      <c r="O33">
        <v>839.5</v>
      </c>
      <c r="P33">
        <v>2.0950000000000002</v>
      </c>
      <c r="Q33">
        <v>4.2398999999999996</v>
      </c>
      <c r="R33">
        <v>1218.5</v>
      </c>
      <c r="S33">
        <v>84.79</v>
      </c>
      <c r="T33">
        <v>88.32</v>
      </c>
      <c r="U33">
        <v>2.7993000000000001</v>
      </c>
      <c r="AI33" s="26"/>
      <c r="AJ33" s="26"/>
      <c r="BN33"/>
      <c r="BO33"/>
    </row>
    <row r="34" spans="1:67" x14ac:dyDescent="0.25">
      <c r="A34">
        <v>774</v>
      </c>
      <c r="B34">
        <v>834.25</v>
      </c>
      <c r="C34">
        <v>7.82</v>
      </c>
      <c r="D34">
        <v>543.5</v>
      </c>
      <c r="E34">
        <v>1310.25</v>
      </c>
      <c r="F34">
        <v>349.6</v>
      </c>
      <c r="G34">
        <v>70.959999999999994</v>
      </c>
      <c r="H34">
        <v>5065</v>
      </c>
      <c r="I34">
        <v>10262</v>
      </c>
      <c r="J34">
        <v>3376</v>
      </c>
      <c r="K34">
        <v>9135</v>
      </c>
      <c r="L34">
        <v>2379</v>
      </c>
      <c r="M34">
        <v>10279</v>
      </c>
      <c r="N34">
        <v>554.5</v>
      </c>
      <c r="O34">
        <v>835.9</v>
      </c>
      <c r="P34">
        <v>2.085</v>
      </c>
      <c r="Q34">
        <v>4.2958999999999996</v>
      </c>
      <c r="R34">
        <v>1221.25</v>
      </c>
      <c r="S34">
        <v>85.25</v>
      </c>
      <c r="T34">
        <v>88.98</v>
      </c>
      <c r="U34">
        <v>2.7898999999999998</v>
      </c>
      <c r="AI34" s="26"/>
      <c r="AJ34" s="26"/>
      <c r="BN34"/>
      <c r="BO34"/>
    </row>
    <row r="35" spans="1:67" x14ac:dyDescent="0.25">
      <c r="A35">
        <v>782.5</v>
      </c>
      <c r="B35">
        <v>845.25</v>
      </c>
      <c r="C35">
        <v>7.7675000000000001</v>
      </c>
      <c r="D35">
        <v>546</v>
      </c>
      <c r="E35">
        <v>1317.75</v>
      </c>
      <c r="F35">
        <v>352.6</v>
      </c>
      <c r="G35">
        <v>72.63</v>
      </c>
      <c r="H35">
        <v>5072</v>
      </c>
      <c r="I35">
        <v>10293</v>
      </c>
      <c r="J35">
        <v>3357</v>
      </c>
      <c r="K35">
        <v>9072</v>
      </c>
      <c r="L35">
        <v>2362</v>
      </c>
      <c r="M35">
        <v>10234</v>
      </c>
      <c r="N35">
        <v>558.5</v>
      </c>
      <c r="O35">
        <v>852.3</v>
      </c>
      <c r="P35">
        <v>2.0750000000000002</v>
      </c>
      <c r="Q35">
        <v>4.3085000000000004</v>
      </c>
      <c r="R35">
        <v>1207.75</v>
      </c>
      <c r="S35">
        <v>84.97</v>
      </c>
      <c r="T35">
        <v>88.67</v>
      </c>
      <c r="U35">
        <v>2.8125</v>
      </c>
      <c r="AI35" s="26"/>
      <c r="AJ35" s="26"/>
      <c r="BN35"/>
      <c r="BO35"/>
    </row>
    <row r="36" spans="1:67" x14ac:dyDescent="0.25">
      <c r="A36">
        <v>774</v>
      </c>
      <c r="B36">
        <v>838</v>
      </c>
      <c r="C36">
        <v>7.63</v>
      </c>
      <c r="D36">
        <v>537.75</v>
      </c>
      <c r="E36">
        <v>1288</v>
      </c>
      <c r="F36">
        <v>345.3</v>
      </c>
      <c r="G36">
        <v>71.12</v>
      </c>
      <c r="I36">
        <v>10241</v>
      </c>
      <c r="J36">
        <v>3353</v>
      </c>
      <c r="K36">
        <v>9013</v>
      </c>
      <c r="L36">
        <v>2367</v>
      </c>
      <c r="M36">
        <v>10240</v>
      </c>
      <c r="N36">
        <v>546.5</v>
      </c>
      <c r="O36">
        <v>823.3</v>
      </c>
      <c r="P36">
        <v>2.0449999999999999</v>
      </c>
      <c r="Q36">
        <v>4.0753000000000004</v>
      </c>
      <c r="R36">
        <v>1157.25</v>
      </c>
      <c r="S36">
        <v>82.07</v>
      </c>
      <c r="T36">
        <v>86.15</v>
      </c>
      <c r="U36">
        <v>2.7321</v>
      </c>
      <c r="AI36" s="26"/>
      <c r="AJ36" s="26"/>
      <c r="BN36"/>
      <c r="BO36"/>
    </row>
    <row r="37" spans="1:67" x14ac:dyDescent="0.25">
      <c r="A37">
        <v>784</v>
      </c>
      <c r="B37">
        <v>844.25</v>
      </c>
      <c r="C37">
        <v>7.6924999999999999</v>
      </c>
      <c r="D37">
        <v>536.5</v>
      </c>
      <c r="E37">
        <v>1288</v>
      </c>
      <c r="F37">
        <v>348.9</v>
      </c>
      <c r="G37">
        <v>71.06</v>
      </c>
      <c r="H37">
        <v>4988</v>
      </c>
      <c r="I37">
        <v>10089</v>
      </c>
      <c r="J37">
        <v>3344</v>
      </c>
      <c r="K37">
        <v>8908</v>
      </c>
      <c r="L37">
        <v>2372</v>
      </c>
      <c r="M37">
        <v>10167</v>
      </c>
      <c r="N37">
        <v>548.25</v>
      </c>
      <c r="O37">
        <v>833.2</v>
      </c>
      <c r="P37">
        <v>2.0375000000000001</v>
      </c>
      <c r="Q37">
        <v>3.9420999999999999</v>
      </c>
      <c r="R37">
        <v>1117.25</v>
      </c>
      <c r="S37">
        <v>80</v>
      </c>
      <c r="T37">
        <v>84.16</v>
      </c>
      <c r="U37">
        <v>2.6839</v>
      </c>
      <c r="AI37" s="26"/>
      <c r="AJ37" s="26"/>
      <c r="BN37"/>
      <c r="BO37"/>
    </row>
    <row r="38" spans="1:67" x14ac:dyDescent="0.25">
      <c r="A38">
        <v>760.75</v>
      </c>
      <c r="B38">
        <v>822</v>
      </c>
      <c r="C38">
        <v>7.5774999999999997</v>
      </c>
      <c r="D38">
        <v>533.5</v>
      </c>
      <c r="E38">
        <v>1268</v>
      </c>
      <c r="F38">
        <v>340.9</v>
      </c>
      <c r="G38">
        <v>68.510000000000005</v>
      </c>
      <c r="H38">
        <v>4907</v>
      </c>
      <c r="I38">
        <v>10060</v>
      </c>
      <c r="J38">
        <v>3324</v>
      </c>
      <c r="K38">
        <v>8818</v>
      </c>
      <c r="L38">
        <v>2357</v>
      </c>
      <c r="M38">
        <v>10134</v>
      </c>
      <c r="N38">
        <v>542.5</v>
      </c>
      <c r="O38">
        <v>813.6</v>
      </c>
      <c r="P38">
        <v>2.0074999999999998</v>
      </c>
      <c r="Q38">
        <v>3.8963000000000001</v>
      </c>
      <c r="R38">
        <v>1090.5</v>
      </c>
      <c r="S38">
        <v>80.11</v>
      </c>
      <c r="T38">
        <v>84.23</v>
      </c>
      <c r="U38">
        <v>2.6473</v>
      </c>
      <c r="AI38" s="26"/>
      <c r="AJ38" s="26"/>
      <c r="BN38"/>
      <c r="BO38"/>
    </row>
    <row r="39" spans="1:67" x14ac:dyDescent="0.25">
      <c r="A39">
        <v>748.25</v>
      </c>
      <c r="B39">
        <v>808.75</v>
      </c>
      <c r="C39">
        <v>7.48</v>
      </c>
      <c r="D39">
        <v>536.5</v>
      </c>
      <c r="E39">
        <v>1266</v>
      </c>
      <c r="F39">
        <v>339.3</v>
      </c>
      <c r="G39">
        <v>67.739999999999995</v>
      </c>
      <c r="H39">
        <v>4931</v>
      </c>
      <c r="I39">
        <v>10039</v>
      </c>
      <c r="J39">
        <v>3266</v>
      </c>
      <c r="K39">
        <v>8760</v>
      </c>
      <c r="L39">
        <v>2306</v>
      </c>
      <c r="M39">
        <v>10105</v>
      </c>
      <c r="N39">
        <v>541.5</v>
      </c>
      <c r="O39">
        <v>808.3</v>
      </c>
      <c r="P39">
        <v>2.0525000000000002</v>
      </c>
      <c r="Q39">
        <v>3.8576000000000001</v>
      </c>
      <c r="R39">
        <v>1105.25</v>
      </c>
      <c r="S39">
        <v>79.27</v>
      </c>
      <c r="T39">
        <v>83.38</v>
      </c>
      <c r="U39">
        <v>2.6099000000000001</v>
      </c>
      <c r="AI39" s="26"/>
      <c r="AJ39" s="26"/>
      <c r="BN39"/>
      <c r="BO39"/>
    </row>
    <row r="40" spans="1:67" x14ac:dyDescent="0.25">
      <c r="A40">
        <v>703.25</v>
      </c>
      <c r="B40">
        <v>770.75</v>
      </c>
      <c r="C40">
        <v>7.2</v>
      </c>
      <c r="D40">
        <v>523.5</v>
      </c>
      <c r="E40">
        <v>1237.75</v>
      </c>
      <c r="F40">
        <v>329.2</v>
      </c>
      <c r="G40">
        <v>67.78</v>
      </c>
      <c r="I40">
        <v>10064</v>
      </c>
      <c r="J40">
        <v>3228</v>
      </c>
      <c r="K40">
        <v>8748</v>
      </c>
      <c r="L40">
        <v>2267</v>
      </c>
      <c r="M40">
        <v>10112</v>
      </c>
      <c r="N40">
        <v>536</v>
      </c>
      <c r="O40">
        <v>799.6</v>
      </c>
      <c r="P40">
        <v>2.0499999999999998</v>
      </c>
      <c r="Q40">
        <v>3.8727999999999998</v>
      </c>
      <c r="R40">
        <v>1110.5</v>
      </c>
      <c r="S40">
        <v>79.150000000000006</v>
      </c>
      <c r="T40">
        <v>83.45</v>
      </c>
      <c r="U40">
        <v>2.6012</v>
      </c>
      <c r="AI40" s="26"/>
      <c r="AJ40" s="26"/>
      <c r="BN40"/>
      <c r="BO40"/>
    </row>
    <row r="41" spans="1:67" x14ac:dyDescent="0.25">
      <c r="A41">
        <v>699.5</v>
      </c>
      <c r="B41">
        <v>767.25</v>
      </c>
      <c r="C41">
        <v>7.2125000000000004</v>
      </c>
      <c r="D41">
        <v>515.5</v>
      </c>
      <c r="E41">
        <v>1224.25</v>
      </c>
      <c r="F41">
        <v>328.6</v>
      </c>
      <c r="G41">
        <v>67.31</v>
      </c>
      <c r="H41">
        <v>5013</v>
      </c>
      <c r="I41">
        <v>10178</v>
      </c>
      <c r="J41">
        <v>3240</v>
      </c>
      <c r="K41">
        <v>8811</v>
      </c>
      <c r="L41">
        <v>2275</v>
      </c>
      <c r="M41">
        <v>10248</v>
      </c>
      <c r="N41">
        <v>524.75</v>
      </c>
      <c r="O41">
        <v>779.4</v>
      </c>
      <c r="P41">
        <v>2.105</v>
      </c>
      <c r="Q41">
        <v>3.9138000000000002</v>
      </c>
      <c r="R41">
        <v>1127.25</v>
      </c>
      <c r="S41">
        <v>81.34</v>
      </c>
      <c r="T41">
        <v>85.96</v>
      </c>
      <c r="U41">
        <v>2.6465000000000001</v>
      </c>
      <c r="AI41" s="26"/>
      <c r="AJ41" s="26"/>
      <c r="BN41"/>
      <c r="BO41"/>
    </row>
    <row r="42" spans="1:67" x14ac:dyDescent="0.25">
      <c r="A42">
        <v>699.25</v>
      </c>
      <c r="B42">
        <v>772.5</v>
      </c>
      <c r="C42">
        <v>7.2450000000000001</v>
      </c>
      <c r="D42">
        <v>508.5</v>
      </c>
      <c r="E42">
        <v>1239.5</v>
      </c>
      <c r="F42">
        <v>325.8</v>
      </c>
      <c r="G42">
        <v>69.58</v>
      </c>
      <c r="H42">
        <v>5077</v>
      </c>
      <c r="I42">
        <v>10146</v>
      </c>
      <c r="J42">
        <v>3244</v>
      </c>
      <c r="K42">
        <v>8836</v>
      </c>
      <c r="L42">
        <v>2281</v>
      </c>
      <c r="M42">
        <v>10338</v>
      </c>
      <c r="N42">
        <v>541.25</v>
      </c>
      <c r="O42">
        <v>808.4</v>
      </c>
      <c r="P42">
        <v>2.105</v>
      </c>
      <c r="Q42">
        <v>4.0846999999999998</v>
      </c>
      <c r="R42">
        <v>1165.25</v>
      </c>
      <c r="S42">
        <v>83.02</v>
      </c>
      <c r="T42">
        <v>87.67</v>
      </c>
      <c r="U42">
        <v>2.7201</v>
      </c>
      <c r="AI42" s="26"/>
      <c r="AJ42" s="26"/>
      <c r="BN42"/>
      <c r="BO42"/>
    </row>
    <row r="43" spans="1:67" x14ac:dyDescent="0.25">
      <c r="A43">
        <v>700</v>
      </c>
      <c r="B43">
        <v>776.5</v>
      </c>
      <c r="C43">
        <v>7.2774999999999999</v>
      </c>
      <c r="D43">
        <v>503.5</v>
      </c>
      <c r="E43">
        <v>1236.5</v>
      </c>
      <c r="F43">
        <v>323.8</v>
      </c>
      <c r="G43">
        <v>71.319999999999993</v>
      </c>
      <c r="H43">
        <v>5025</v>
      </c>
      <c r="I43">
        <v>10082</v>
      </c>
      <c r="J43">
        <v>3264</v>
      </c>
      <c r="K43">
        <v>8809</v>
      </c>
      <c r="L43">
        <v>2304</v>
      </c>
      <c r="M43">
        <v>10400</v>
      </c>
      <c r="N43">
        <v>547.25</v>
      </c>
      <c r="O43">
        <v>828.9</v>
      </c>
      <c r="P43">
        <v>2.0625</v>
      </c>
      <c r="Q43">
        <v>4.0875000000000004</v>
      </c>
      <c r="R43">
        <v>1151</v>
      </c>
      <c r="S43">
        <v>82.67</v>
      </c>
      <c r="T43">
        <v>87</v>
      </c>
      <c r="U43">
        <v>2.7172999999999998</v>
      </c>
      <c r="AI43" s="26"/>
      <c r="AJ43" s="26"/>
      <c r="BN43"/>
      <c r="BO43"/>
    </row>
    <row r="44" spans="1:67" x14ac:dyDescent="0.25">
      <c r="A44">
        <v>697.5</v>
      </c>
      <c r="B44">
        <v>776.75</v>
      </c>
      <c r="C44">
        <v>7.2024999999999997</v>
      </c>
      <c r="D44">
        <v>498</v>
      </c>
      <c r="E44">
        <v>1237.25</v>
      </c>
      <c r="F44">
        <v>325.60000000000002</v>
      </c>
      <c r="G44">
        <v>69.959999999999994</v>
      </c>
      <c r="H44">
        <v>4972</v>
      </c>
      <c r="I44">
        <v>9970</v>
      </c>
      <c r="J44">
        <v>3246</v>
      </c>
      <c r="K44">
        <v>8722</v>
      </c>
      <c r="L44">
        <v>2292</v>
      </c>
      <c r="M44">
        <v>10219</v>
      </c>
      <c r="N44">
        <v>553</v>
      </c>
      <c r="O44">
        <v>827.9</v>
      </c>
      <c r="P44">
        <v>2.0249999999999999</v>
      </c>
      <c r="Q44">
        <v>4.0114000000000001</v>
      </c>
      <c r="R44">
        <v>1136.25</v>
      </c>
      <c r="S44">
        <v>81.069999999999993</v>
      </c>
      <c r="T44">
        <v>85.36</v>
      </c>
      <c r="U44">
        <v>2.6798999999999999</v>
      </c>
      <c r="AI44" s="26"/>
      <c r="AJ44" s="26"/>
      <c r="BN44"/>
      <c r="BO44"/>
    </row>
    <row r="45" spans="1:67" x14ac:dyDescent="0.25">
      <c r="A45">
        <v>681.25</v>
      </c>
      <c r="B45">
        <v>758.5</v>
      </c>
      <c r="C45">
        <v>7.0374999999999996</v>
      </c>
      <c r="D45">
        <v>488</v>
      </c>
      <c r="E45">
        <v>1216.75</v>
      </c>
      <c r="F45">
        <v>318.8</v>
      </c>
      <c r="G45">
        <v>69.63</v>
      </c>
      <c r="H45">
        <v>4943</v>
      </c>
      <c r="I45">
        <v>9896</v>
      </c>
      <c r="J45">
        <v>3218</v>
      </c>
      <c r="K45">
        <v>8644</v>
      </c>
      <c r="L45">
        <v>2270</v>
      </c>
      <c r="M45">
        <v>10198</v>
      </c>
      <c r="N45">
        <v>547.5</v>
      </c>
      <c r="O45">
        <v>814.9</v>
      </c>
      <c r="P45">
        <v>2.0225</v>
      </c>
      <c r="Q45">
        <v>4.0084</v>
      </c>
      <c r="R45">
        <v>1128</v>
      </c>
      <c r="S45">
        <v>81.2</v>
      </c>
      <c r="T45">
        <v>85.59</v>
      </c>
      <c r="U45">
        <v>2.6890000000000001</v>
      </c>
      <c r="AI45" s="26"/>
      <c r="AJ45" s="26"/>
      <c r="BN45"/>
      <c r="BO45"/>
    </row>
    <row r="46" spans="1:67" x14ac:dyDescent="0.25">
      <c r="A46">
        <v>689.25</v>
      </c>
      <c r="B46">
        <v>771.75</v>
      </c>
      <c r="C46">
        <v>7.03</v>
      </c>
      <c r="D46">
        <v>489.5</v>
      </c>
      <c r="E46">
        <v>1216</v>
      </c>
      <c r="F46">
        <v>318.7</v>
      </c>
      <c r="G46">
        <v>70.819999999999993</v>
      </c>
      <c r="H46">
        <v>4903</v>
      </c>
      <c r="I46">
        <v>9808</v>
      </c>
      <c r="J46">
        <v>3174</v>
      </c>
      <c r="K46">
        <v>8547</v>
      </c>
      <c r="L46">
        <v>2246</v>
      </c>
      <c r="M46">
        <v>10146</v>
      </c>
      <c r="N46">
        <v>550.5</v>
      </c>
      <c r="O46">
        <v>836.3</v>
      </c>
      <c r="P46">
        <v>2.0125000000000002</v>
      </c>
      <c r="Q46">
        <v>3.9882</v>
      </c>
      <c r="R46">
        <v>1105.25</v>
      </c>
      <c r="S46">
        <v>80.83</v>
      </c>
      <c r="T46">
        <v>85.03</v>
      </c>
      <c r="U46">
        <v>2.6642000000000001</v>
      </c>
      <c r="AI46" s="26"/>
      <c r="AJ46" s="26"/>
      <c r="BN46"/>
      <c r="BO46"/>
    </row>
    <row r="47" spans="1:67" x14ac:dyDescent="0.25">
      <c r="A47">
        <v>689.5</v>
      </c>
      <c r="B47">
        <v>767.75</v>
      </c>
      <c r="C47">
        <v>7.0425000000000004</v>
      </c>
      <c r="D47">
        <v>483.25</v>
      </c>
      <c r="E47">
        <v>1192.5</v>
      </c>
      <c r="F47">
        <v>316.3</v>
      </c>
      <c r="G47">
        <v>68.97</v>
      </c>
      <c r="H47">
        <v>4879</v>
      </c>
      <c r="I47">
        <v>9767</v>
      </c>
      <c r="J47">
        <v>3154</v>
      </c>
      <c r="K47">
        <v>8500</v>
      </c>
      <c r="L47">
        <v>2238</v>
      </c>
      <c r="M47">
        <v>10087</v>
      </c>
      <c r="N47">
        <v>547.5</v>
      </c>
      <c r="O47">
        <v>826.4</v>
      </c>
      <c r="P47">
        <v>1.9950000000000001</v>
      </c>
      <c r="Q47">
        <v>3.8681000000000001</v>
      </c>
      <c r="R47">
        <v>1079</v>
      </c>
      <c r="S47">
        <v>78.489999999999995</v>
      </c>
      <c r="T47">
        <v>82.64</v>
      </c>
      <c r="U47">
        <v>2.6105</v>
      </c>
      <c r="AI47" s="26"/>
      <c r="AJ47" s="26"/>
      <c r="BN47"/>
      <c r="BO47"/>
    </row>
    <row r="48" spans="1:67" x14ac:dyDescent="0.25">
      <c r="A48">
        <v>668.25</v>
      </c>
      <c r="B48">
        <v>734.75</v>
      </c>
      <c r="C48">
        <v>6.9375</v>
      </c>
      <c r="D48">
        <v>472</v>
      </c>
      <c r="E48">
        <v>1182.25</v>
      </c>
      <c r="F48">
        <v>314</v>
      </c>
      <c r="G48">
        <v>68.38</v>
      </c>
      <c r="H48">
        <v>4862</v>
      </c>
      <c r="I48">
        <v>9699</v>
      </c>
      <c r="J48">
        <v>3154</v>
      </c>
      <c r="K48">
        <v>8453</v>
      </c>
      <c r="L48">
        <v>2233</v>
      </c>
      <c r="M48">
        <v>9969</v>
      </c>
      <c r="N48">
        <v>542.25</v>
      </c>
      <c r="O48">
        <v>811.1</v>
      </c>
      <c r="P48">
        <v>1.9550000000000001</v>
      </c>
      <c r="Q48">
        <v>3.8410000000000002</v>
      </c>
      <c r="R48">
        <v>1086.75</v>
      </c>
      <c r="S48">
        <v>77.599999999999994</v>
      </c>
      <c r="T48">
        <v>81.790000000000006</v>
      </c>
      <c r="U48">
        <v>2.5807000000000002</v>
      </c>
      <c r="AI48" s="26"/>
      <c r="AJ48" s="26"/>
      <c r="BN48"/>
      <c r="BO48"/>
    </row>
    <row r="49" spans="1:67" x14ac:dyDescent="0.25">
      <c r="A49">
        <v>669.75</v>
      </c>
      <c r="B49">
        <v>737.75</v>
      </c>
      <c r="C49">
        <v>6.98</v>
      </c>
      <c r="D49">
        <v>480.75</v>
      </c>
      <c r="E49">
        <v>1183.25</v>
      </c>
      <c r="F49">
        <v>315.10000000000002</v>
      </c>
      <c r="G49">
        <v>68.760000000000005</v>
      </c>
      <c r="H49">
        <v>4828</v>
      </c>
      <c r="I49">
        <v>9696</v>
      </c>
      <c r="J49">
        <v>3131</v>
      </c>
      <c r="K49">
        <v>8443</v>
      </c>
      <c r="L49">
        <v>2227</v>
      </c>
      <c r="M49">
        <v>9935</v>
      </c>
      <c r="N49">
        <v>538.25</v>
      </c>
      <c r="O49">
        <v>803.6</v>
      </c>
      <c r="P49">
        <v>1.9624999999999999</v>
      </c>
      <c r="Q49">
        <v>3.8706</v>
      </c>
      <c r="R49">
        <v>1079.5</v>
      </c>
      <c r="S49">
        <v>78.790000000000006</v>
      </c>
      <c r="T49">
        <v>82.91</v>
      </c>
      <c r="U49">
        <v>2.6076999999999999</v>
      </c>
      <c r="AI49" s="26"/>
      <c r="AJ49" s="26"/>
      <c r="BN49"/>
      <c r="BO49"/>
    </row>
    <row r="50" spans="1:67" x14ac:dyDescent="0.25">
      <c r="A50">
        <v>648.25</v>
      </c>
      <c r="B50">
        <v>716</v>
      </c>
      <c r="C50">
        <v>6.8449999999999998</v>
      </c>
      <c r="D50">
        <v>460.5</v>
      </c>
      <c r="E50">
        <v>1168.75</v>
      </c>
      <c r="F50">
        <v>310.89999999999998</v>
      </c>
      <c r="G50">
        <v>68.12</v>
      </c>
      <c r="H50">
        <v>4868</v>
      </c>
      <c r="I50">
        <v>9743</v>
      </c>
      <c r="J50">
        <v>3139</v>
      </c>
      <c r="K50">
        <v>8460</v>
      </c>
      <c r="L50">
        <v>2234</v>
      </c>
      <c r="M50">
        <v>9961</v>
      </c>
      <c r="N50">
        <v>536.25</v>
      </c>
      <c r="O50">
        <v>791.2</v>
      </c>
      <c r="P50">
        <v>1.9275</v>
      </c>
      <c r="Q50">
        <v>3.8113999999999999</v>
      </c>
      <c r="R50">
        <v>1055.25</v>
      </c>
      <c r="S50">
        <v>78.58</v>
      </c>
      <c r="T50">
        <v>82.73</v>
      </c>
      <c r="U50">
        <v>2.6052</v>
      </c>
      <c r="AI50" s="26"/>
      <c r="AJ50" s="26"/>
      <c r="BN50"/>
      <c r="BO50"/>
    </row>
    <row r="51" spans="1:67" x14ac:dyDescent="0.25">
      <c r="A51">
        <v>659.25</v>
      </c>
      <c r="B51">
        <v>731.25</v>
      </c>
      <c r="C51">
        <v>6.95</v>
      </c>
      <c r="D51">
        <v>461.75</v>
      </c>
      <c r="E51">
        <v>1179.5</v>
      </c>
      <c r="F51">
        <v>311.60000000000002</v>
      </c>
      <c r="G51">
        <v>69.14</v>
      </c>
      <c r="H51">
        <v>4836</v>
      </c>
      <c r="I51">
        <v>9700</v>
      </c>
      <c r="J51">
        <v>3146</v>
      </c>
      <c r="K51">
        <v>8456</v>
      </c>
      <c r="L51">
        <v>2242</v>
      </c>
      <c r="M51">
        <v>9934</v>
      </c>
      <c r="N51">
        <v>540.25</v>
      </c>
      <c r="O51">
        <v>804.8</v>
      </c>
      <c r="P51">
        <v>1.9424999999999999</v>
      </c>
      <c r="Q51">
        <v>3.7948</v>
      </c>
      <c r="R51">
        <v>1055.25</v>
      </c>
      <c r="S51">
        <v>78.489999999999995</v>
      </c>
      <c r="T51">
        <v>82.57</v>
      </c>
      <c r="U51">
        <v>2.5985</v>
      </c>
      <c r="AI51" s="26"/>
      <c r="AJ51" s="26"/>
      <c r="BN51"/>
      <c r="BO51"/>
    </row>
    <row r="52" spans="1:67" x14ac:dyDescent="0.25">
      <c r="A52">
        <v>658.25</v>
      </c>
      <c r="B52">
        <v>730.5</v>
      </c>
      <c r="C52">
        <v>7.0225</v>
      </c>
      <c r="D52">
        <v>462</v>
      </c>
      <c r="E52">
        <v>1176.25</v>
      </c>
      <c r="F52">
        <v>313.39999999999998</v>
      </c>
      <c r="G52">
        <v>67.88</v>
      </c>
      <c r="H52">
        <v>4785</v>
      </c>
      <c r="I52">
        <v>9662</v>
      </c>
      <c r="J52">
        <v>3144</v>
      </c>
      <c r="K52">
        <v>8434</v>
      </c>
      <c r="L52">
        <v>2235</v>
      </c>
      <c r="M52">
        <v>9909</v>
      </c>
      <c r="N52">
        <v>535</v>
      </c>
      <c r="O52">
        <v>788.8</v>
      </c>
      <c r="P52">
        <v>1.94</v>
      </c>
      <c r="Q52">
        <v>3.5827</v>
      </c>
      <c r="R52">
        <v>1003.75</v>
      </c>
      <c r="S52">
        <v>74.64</v>
      </c>
      <c r="T52">
        <v>78.680000000000007</v>
      </c>
      <c r="U52">
        <v>2.4900000000000002</v>
      </c>
      <c r="AI52" s="26"/>
      <c r="AJ52" s="26"/>
      <c r="BN52"/>
      <c r="BO52"/>
    </row>
    <row r="53" spans="1:67" x14ac:dyDescent="0.25">
      <c r="A53">
        <v>650.5</v>
      </c>
      <c r="B53">
        <v>717.5</v>
      </c>
      <c r="C53">
        <v>6.9424999999999999</v>
      </c>
      <c r="D53">
        <v>462</v>
      </c>
      <c r="E53">
        <v>1177.75</v>
      </c>
      <c r="F53">
        <v>316.60000000000002</v>
      </c>
      <c r="G53">
        <v>67.37</v>
      </c>
      <c r="H53">
        <v>4775</v>
      </c>
      <c r="I53">
        <v>9685</v>
      </c>
      <c r="J53">
        <v>3121</v>
      </c>
      <c r="K53">
        <v>8420</v>
      </c>
      <c r="L53">
        <v>2233</v>
      </c>
      <c r="M53">
        <v>9875</v>
      </c>
      <c r="N53">
        <v>528.25</v>
      </c>
      <c r="O53">
        <v>779</v>
      </c>
      <c r="P53">
        <v>1.91</v>
      </c>
      <c r="Q53">
        <v>3.5331000000000001</v>
      </c>
      <c r="R53">
        <v>978</v>
      </c>
      <c r="S53">
        <v>73.599999999999994</v>
      </c>
      <c r="T53">
        <v>77.55</v>
      </c>
      <c r="U53">
        <v>2.4558</v>
      </c>
      <c r="AI53" s="26"/>
      <c r="AJ53" s="26"/>
      <c r="BN53"/>
      <c r="BO53"/>
    </row>
    <row r="54" spans="1:67" x14ac:dyDescent="0.25">
      <c r="A54">
        <v>661.25</v>
      </c>
      <c r="B54">
        <v>731</v>
      </c>
      <c r="C54">
        <v>7.08</v>
      </c>
      <c r="D54">
        <v>460</v>
      </c>
      <c r="E54">
        <v>1174.75</v>
      </c>
      <c r="F54">
        <v>315.60000000000002</v>
      </c>
      <c r="G54">
        <v>67.17</v>
      </c>
      <c r="H54">
        <v>4783</v>
      </c>
      <c r="I54">
        <v>9653</v>
      </c>
      <c r="J54">
        <v>3118</v>
      </c>
      <c r="K54">
        <v>8417</v>
      </c>
      <c r="L54">
        <v>2235</v>
      </c>
      <c r="M54">
        <v>9843</v>
      </c>
      <c r="N54">
        <v>524.75</v>
      </c>
      <c r="O54">
        <v>775.7</v>
      </c>
      <c r="P54">
        <v>1.9</v>
      </c>
      <c r="Q54">
        <v>3.4649000000000001</v>
      </c>
      <c r="R54">
        <v>973</v>
      </c>
      <c r="S54">
        <v>71.87</v>
      </c>
      <c r="T54">
        <v>75.7</v>
      </c>
      <c r="U54">
        <v>2.3853</v>
      </c>
      <c r="AI54" s="26"/>
      <c r="AJ54" s="26"/>
      <c r="BN54"/>
      <c r="BO54"/>
    </row>
    <row r="55" spans="1:67" x14ac:dyDescent="0.25">
      <c r="A55">
        <v>657.25</v>
      </c>
      <c r="B55">
        <v>724.5</v>
      </c>
      <c r="C55">
        <v>7.0925000000000002</v>
      </c>
      <c r="D55">
        <v>465.5</v>
      </c>
      <c r="E55">
        <v>1177.75</v>
      </c>
      <c r="F55">
        <v>318.39999999999998</v>
      </c>
      <c r="G55">
        <v>67.52</v>
      </c>
      <c r="H55">
        <v>4764</v>
      </c>
      <c r="I55">
        <v>9581</v>
      </c>
      <c r="J55">
        <v>3131</v>
      </c>
      <c r="K55">
        <v>8430</v>
      </c>
      <c r="L55">
        <v>2242</v>
      </c>
      <c r="M55">
        <v>9825</v>
      </c>
      <c r="N55">
        <v>520</v>
      </c>
      <c r="O55">
        <v>770.7</v>
      </c>
      <c r="P55">
        <v>1.915</v>
      </c>
      <c r="Q55">
        <v>3.4308000000000001</v>
      </c>
      <c r="R55">
        <v>959.75</v>
      </c>
      <c r="S55">
        <v>72.03</v>
      </c>
      <c r="T55">
        <v>75.97</v>
      </c>
      <c r="U55">
        <v>2.3826000000000001</v>
      </c>
      <c r="AI55" s="26"/>
      <c r="AJ55" s="26"/>
      <c r="BN55"/>
      <c r="BO55"/>
    </row>
    <row r="56" spans="1:67" x14ac:dyDescent="0.25">
      <c r="A56">
        <v>669.25</v>
      </c>
      <c r="B56">
        <v>734</v>
      </c>
      <c r="C56">
        <v>7.2</v>
      </c>
      <c r="D56">
        <v>472.5</v>
      </c>
      <c r="E56">
        <v>1192.25</v>
      </c>
      <c r="F56">
        <v>321.60000000000002</v>
      </c>
      <c r="G56">
        <v>68.14</v>
      </c>
      <c r="H56">
        <v>4697</v>
      </c>
      <c r="I56">
        <v>9561</v>
      </c>
      <c r="J56">
        <v>3126</v>
      </c>
      <c r="K56">
        <v>8398</v>
      </c>
      <c r="L56">
        <v>2242</v>
      </c>
      <c r="M56">
        <v>9759</v>
      </c>
      <c r="N56">
        <v>523.5</v>
      </c>
      <c r="P56">
        <v>1.9325000000000001</v>
      </c>
      <c r="Q56">
        <v>3.5009000000000001</v>
      </c>
      <c r="R56">
        <v>989.5</v>
      </c>
      <c r="S56">
        <v>73.94</v>
      </c>
      <c r="T56">
        <v>77.989999999999995</v>
      </c>
      <c r="U56">
        <v>2.4605000000000001</v>
      </c>
      <c r="AI56" s="26"/>
      <c r="AJ56" s="26"/>
      <c r="BN56"/>
      <c r="BO56"/>
    </row>
    <row r="57" spans="1:67" x14ac:dyDescent="0.25">
      <c r="A57">
        <v>657.5</v>
      </c>
      <c r="B57">
        <v>723.75</v>
      </c>
      <c r="C57">
        <v>7.1449999999999996</v>
      </c>
      <c r="D57">
        <v>464</v>
      </c>
      <c r="E57">
        <v>1187.5</v>
      </c>
      <c r="F57">
        <v>321.2</v>
      </c>
      <c r="G57">
        <v>66.900000000000006</v>
      </c>
      <c r="H57">
        <v>4704</v>
      </c>
      <c r="I57">
        <v>9608</v>
      </c>
      <c r="J57">
        <v>3135</v>
      </c>
      <c r="K57">
        <v>8412</v>
      </c>
      <c r="L57">
        <v>2244</v>
      </c>
      <c r="M57">
        <v>9761</v>
      </c>
      <c r="N57">
        <v>512.5</v>
      </c>
      <c r="O57">
        <v>767.5</v>
      </c>
      <c r="P57">
        <v>1.9125000000000001</v>
      </c>
      <c r="Q57">
        <v>3.63</v>
      </c>
      <c r="R57">
        <v>1029.25</v>
      </c>
      <c r="S57">
        <v>76.44</v>
      </c>
      <c r="T57">
        <v>80.59</v>
      </c>
      <c r="U57">
        <v>2.5501999999999998</v>
      </c>
      <c r="AI57" s="26"/>
      <c r="AJ57" s="26"/>
      <c r="BN57"/>
      <c r="BO57"/>
    </row>
    <row r="58" spans="1:67" x14ac:dyDescent="0.25">
      <c r="A58">
        <v>681.5</v>
      </c>
      <c r="B58">
        <v>746.75</v>
      </c>
      <c r="C58">
        <v>7.3550000000000004</v>
      </c>
      <c r="D58">
        <v>468.5</v>
      </c>
      <c r="E58">
        <v>1188.75</v>
      </c>
      <c r="F58">
        <v>322.8</v>
      </c>
      <c r="G58">
        <v>67.290000000000006</v>
      </c>
      <c r="H58">
        <v>4743</v>
      </c>
      <c r="I58">
        <v>9628</v>
      </c>
      <c r="J58">
        <v>3141</v>
      </c>
      <c r="K58">
        <v>8424</v>
      </c>
      <c r="L58">
        <v>2256</v>
      </c>
      <c r="M58">
        <v>9784</v>
      </c>
      <c r="N58">
        <v>527.25</v>
      </c>
      <c r="O58">
        <v>777.6</v>
      </c>
      <c r="P58">
        <v>1.92</v>
      </c>
      <c r="Q58">
        <v>3.6084999999999998</v>
      </c>
      <c r="R58">
        <v>1009.75</v>
      </c>
      <c r="S58">
        <v>76.12</v>
      </c>
      <c r="T58">
        <v>80.209999999999994</v>
      </c>
      <c r="U58">
        <v>2.544</v>
      </c>
      <c r="AI58" s="26"/>
      <c r="AJ58" s="26"/>
      <c r="BN58"/>
      <c r="BO58"/>
    </row>
    <row r="59" spans="1:67" x14ac:dyDescent="0.25">
      <c r="A59">
        <v>677.75</v>
      </c>
      <c r="B59">
        <v>740.75</v>
      </c>
      <c r="C59">
        <v>7.2824999999999998</v>
      </c>
      <c r="D59">
        <v>471.75</v>
      </c>
      <c r="E59">
        <v>1192.75</v>
      </c>
      <c r="F59">
        <v>323.5</v>
      </c>
      <c r="G59">
        <v>67.62</v>
      </c>
      <c r="H59">
        <v>4724</v>
      </c>
      <c r="I59">
        <v>9637</v>
      </c>
      <c r="J59">
        <v>3171</v>
      </c>
      <c r="K59">
        <v>8454</v>
      </c>
      <c r="L59">
        <v>2298</v>
      </c>
      <c r="M59">
        <v>9814</v>
      </c>
      <c r="N59">
        <v>530.75</v>
      </c>
      <c r="O59">
        <v>780.9</v>
      </c>
      <c r="P59">
        <v>1.9275</v>
      </c>
      <c r="Q59">
        <v>3.6737000000000002</v>
      </c>
      <c r="R59">
        <v>1018.5</v>
      </c>
      <c r="S59">
        <v>77.739999999999995</v>
      </c>
      <c r="T59">
        <v>81.96</v>
      </c>
      <c r="U59">
        <v>2.6069</v>
      </c>
      <c r="AI59" s="26"/>
      <c r="AJ59" s="26"/>
      <c r="BN59"/>
      <c r="BO59"/>
    </row>
    <row r="60" spans="1:67" x14ac:dyDescent="0.25">
      <c r="A60">
        <v>679.75</v>
      </c>
      <c r="B60">
        <v>742</v>
      </c>
      <c r="C60">
        <v>7.2525000000000004</v>
      </c>
      <c r="D60">
        <v>480.5</v>
      </c>
      <c r="E60">
        <v>1220</v>
      </c>
      <c r="F60">
        <v>327.8</v>
      </c>
      <c r="G60">
        <v>68.930000000000007</v>
      </c>
      <c r="H60">
        <v>4705</v>
      </c>
      <c r="I60">
        <v>9612</v>
      </c>
      <c r="J60">
        <v>3177</v>
      </c>
      <c r="K60">
        <v>8455</v>
      </c>
      <c r="L60">
        <v>2305</v>
      </c>
      <c r="M60">
        <v>9844</v>
      </c>
      <c r="N60">
        <v>530.75</v>
      </c>
      <c r="O60">
        <v>792.2</v>
      </c>
      <c r="P60">
        <v>1.93</v>
      </c>
      <c r="Q60">
        <v>3.5015000000000001</v>
      </c>
      <c r="R60">
        <v>967.5</v>
      </c>
      <c r="S60">
        <v>73.849999999999994</v>
      </c>
      <c r="T60">
        <v>77.680000000000007</v>
      </c>
      <c r="U60">
        <v>2.5087000000000002</v>
      </c>
      <c r="AI60" s="26"/>
      <c r="AJ60" s="26"/>
      <c r="BN60"/>
      <c r="BO60"/>
    </row>
    <row r="61" spans="1:67" x14ac:dyDescent="0.25">
      <c r="A61">
        <v>677.5</v>
      </c>
      <c r="B61">
        <v>745.5</v>
      </c>
      <c r="C61">
        <v>7.2850000000000001</v>
      </c>
      <c r="D61">
        <v>474</v>
      </c>
      <c r="E61">
        <v>1213.75</v>
      </c>
      <c r="F61">
        <v>324.10000000000002</v>
      </c>
      <c r="G61">
        <v>69.58</v>
      </c>
      <c r="H61">
        <v>4732</v>
      </c>
      <c r="I61">
        <v>9711</v>
      </c>
      <c r="J61">
        <v>3230</v>
      </c>
      <c r="K61">
        <v>8543</v>
      </c>
      <c r="L61">
        <v>2349</v>
      </c>
      <c r="M61">
        <v>10002</v>
      </c>
      <c r="N61">
        <v>536.5</v>
      </c>
      <c r="O61">
        <v>799.7</v>
      </c>
      <c r="P61">
        <v>1.9125000000000001</v>
      </c>
      <c r="Q61">
        <v>3.5548000000000002</v>
      </c>
      <c r="R61">
        <v>991.25</v>
      </c>
      <c r="S61">
        <v>76.53</v>
      </c>
      <c r="T61">
        <v>80.709999999999994</v>
      </c>
      <c r="U61">
        <v>2.5621</v>
      </c>
      <c r="AI61" s="26"/>
      <c r="AJ61" s="26"/>
      <c r="BN61"/>
      <c r="BO61"/>
    </row>
    <row r="62" spans="1:67" x14ac:dyDescent="0.25">
      <c r="A62">
        <v>695.5</v>
      </c>
      <c r="B62">
        <v>761.5</v>
      </c>
      <c r="C62">
        <v>7.3775000000000004</v>
      </c>
      <c r="D62">
        <v>487.5</v>
      </c>
      <c r="E62">
        <v>1253.5</v>
      </c>
      <c r="F62">
        <v>335.2</v>
      </c>
      <c r="G62">
        <v>72.010000000000005</v>
      </c>
      <c r="H62">
        <v>4779</v>
      </c>
      <c r="I62">
        <v>9817</v>
      </c>
      <c r="J62">
        <v>3246</v>
      </c>
      <c r="K62">
        <v>8610</v>
      </c>
      <c r="L62">
        <v>2356</v>
      </c>
      <c r="M62">
        <v>10132</v>
      </c>
      <c r="N62">
        <v>550</v>
      </c>
      <c r="O62">
        <v>833.6</v>
      </c>
      <c r="P62">
        <v>1.93</v>
      </c>
      <c r="Q62">
        <v>3.6389999999999998</v>
      </c>
      <c r="R62">
        <v>1003.5</v>
      </c>
      <c r="S62">
        <v>79.33</v>
      </c>
      <c r="T62">
        <v>83.74</v>
      </c>
      <c r="U62">
        <v>2.6393</v>
      </c>
      <c r="AI62" s="26"/>
      <c r="AJ62" s="26"/>
      <c r="BN62"/>
      <c r="BO62"/>
    </row>
    <row r="63" spans="1:67" x14ac:dyDescent="0.25">
      <c r="A63">
        <v>713.75</v>
      </c>
      <c r="B63">
        <v>775.75</v>
      </c>
      <c r="C63">
        <v>7.53</v>
      </c>
      <c r="D63">
        <v>487.5</v>
      </c>
      <c r="E63">
        <v>1243.75</v>
      </c>
      <c r="F63">
        <v>331.9</v>
      </c>
      <c r="G63">
        <v>72.98</v>
      </c>
      <c r="H63">
        <v>4768</v>
      </c>
      <c r="I63">
        <v>9714</v>
      </c>
      <c r="J63">
        <v>3237</v>
      </c>
      <c r="K63">
        <v>8526</v>
      </c>
      <c r="L63">
        <v>2325</v>
      </c>
      <c r="M63">
        <v>10009</v>
      </c>
      <c r="N63">
        <v>561.75</v>
      </c>
      <c r="O63">
        <v>845.6</v>
      </c>
      <c r="P63">
        <v>1.9225000000000001</v>
      </c>
      <c r="Q63">
        <v>3.7241</v>
      </c>
      <c r="R63">
        <v>1044.25</v>
      </c>
      <c r="S63">
        <v>80.099999999999994</v>
      </c>
      <c r="T63">
        <v>84.84</v>
      </c>
      <c r="U63">
        <v>2.6842000000000001</v>
      </c>
      <c r="AI63" s="26"/>
      <c r="AJ63" s="26"/>
      <c r="BN63"/>
      <c r="BO63"/>
    </row>
    <row r="64" spans="1:67" x14ac:dyDescent="0.25">
      <c r="A64">
        <v>722.75</v>
      </c>
      <c r="B64">
        <v>779</v>
      </c>
      <c r="C64">
        <v>7.5250000000000004</v>
      </c>
      <c r="D64">
        <v>484.75</v>
      </c>
      <c r="E64">
        <v>1239</v>
      </c>
      <c r="F64">
        <v>332.9</v>
      </c>
      <c r="G64">
        <v>72.819999999999993</v>
      </c>
      <c r="H64">
        <v>4683</v>
      </c>
      <c r="I64">
        <v>9546</v>
      </c>
      <c r="J64">
        <v>3198</v>
      </c>
      <c r="K64">
        <v>8488</v>
      </c>
      <c r="L64">
        <v>2298</v>
      </c>
      <c r="M64">
        <v>9887</v>
      </c>
      <c r="N64">
        <v>555</v>
      </c>
      <c r="O64">
        <v>832.5</v>
      </c>
      <c r="P64">
        <v>1.9125000000000001</v>
      </c>
      <c r="Q64">
        <v>3.6101000000000001</v>
      </c>
      <c r="R64">
        <v>1002.75</v>
      </c>
      <c r="S64">
        <v>78.64</v>
      </c>
      <c r="T64">
        <v>83.12</v>
      </c>
      <c r="U64">
        <v>2.6313</v>
      </c>
      <c r="AI64" s="26"/>
      <c r="AJ64" s="26"/>
      <c r="BN64"/>
      <c r="BO64"/>
    </row>
    <row r="65" spans="1:67" x14ac:dyDescent="0.25">
      <c r="A65">
        <v>696</v>
      </c>
      <c r="B65">
        <v>749.5</v>
      </c>
      <c r="C65">
        <v>7.2824999999999998</v>
      </c>
      <c r="D65">
        <v>475.25</v>
      </c>
      <c r="E65">
        <v>1222.75</v>
      </c>
      <c r="F65">
        <v>327.3</v>
      </c>
      <c r="G65">
        <v>71.63</v>
      </c>
      <c r="H65">
        <v>4679</v>
      </c>
      <c r="I65">
        <v>9573</v>
      </c>
      <c r="J65">
        <v>3195</v>
      </c>
      <c r="K65">
        <v>8560</v>
      </c>
      <c r="L65">
        <v>2284</v>
      </c>
      <c r="M65">
        <v>9951</v>
      </c>
      <c r="N65">
        <v>552.5</v>
      </c>
      <c r="O65">
        <v>812.9</v>
      </c>
      <c r="P65">
        <v>1.9025000000000001</v>
      </c>
      <c r="Q65">
        <v>3.573</v>
      </c>
      <c r="R65">
        <v>990.5</v>
      </c>
      <c r="S65">
        <v>78.239999999999995</v>
      </c>
      <c r="T65">
        <v>82.51</v>
      </c>
      <c r="U65">
        <v>2.6149</v>
      </c>
      <c r="AI65" s="26"/>
      <c r="AJ65" s="26"/>
      <c r="BN65"/>
      <c r="BO65"/>
    </row>
    <row r="66" spans="1:67" x14ac:dyDescent="0.25">
      <c r="A66">
        <v>691.5</v>
      </c>
      <c r="B66">
        <v>739</v>
      </c>
      <c r="C66">
        <v>7.1725000000000003</v>
      </c>
      <c r="D66">
        <v>473</v>
      </c>
      <c r="E66">
        <v>1226.25</v>
      </c>
      <c r="F66">
        <v>323.8</v>
      </c>
      <c r="G66">
        <v>72.13</v>
      </c>
      <c r="H66">
        <v>4705</v>
      </c>
      <c r="I66">
        <v>9623</v>
      </c>
      <c r="J66">
        <v>3157</v>
      </c>
      <c r="K66">
        <v>8581</v>
      </c>
      <c r="L66">
        <v>2260</v>
      </c>
      <c r="M66">
        <v>9936</v>
      </c>
      <c r="N66">
        <v>556.25</v>
      </c>
      <c r="O66">
        <v>819.8</v>
      </c>
      <c r="P66">
        <v>1.9075</v>
      </c>
      <c r="Q66">
        <v>3.5451000000000001</v>
      </c>
      <c r="R66">
        <v>976</v>
      </c>
      <c r="S66">
        <v>77.83</v>
      </c>
      <c r="T66">
        <v>82.12</v>
      </c>
      <c r="U66">
        <v>2.5950000000000002</v>
      </c>
      <c r="AI66" s="26"/>
      <c r="AJ66" s="26"/>
      <c r="BN66"/>
      <c r="BO66"/>
    </row>
    <row r="67" spans="1:67" x14ac:dyDescent="0.25">
      <c r="A67">
        <v>699.75</v>
      </c>
      <c r="B67">
        <v>746.75</v>
      </c>
      <c r="C67">
        <v>7.1675000000000004</v>
      </c>
      <c r="D67">
        <v>467.5</v>
      </c>
      <c r="E67">
        <v>1203</v>
      </c>
      <c r="F67">
        <v>318.5</v>
      </c>
      <c r="G67">
        <v>72.430000000000007</v>
      </c>
      <c r="H67">
        <v>4663</v>
      </c>
      <c r="I67">
        <v>9535</v>
      </c>
      <c r="J67">
        <v>3135</v>
      </c>
      <c r="K67">
        <v>8543</v>
      </c>
      <c r="L67">
        <v>2246</v>
      </c>
      <c r="M67">
        <v>9890</v>
      </c>
      <c r="N67">
        <v>548</v>
      </c>
      <c r="O67">
        <v>803.8</v>
      </c>
      <c r="P67">
        <v>1.89</v>
      </c>
      <c r="Q67">
        <v>3.5142000000000002</v>
      </c>
      <c r="R67">
        <v>968</v>
      </c>
      <c r="S67">
        <v>77.650000000000006</v>
      </c>
      <c r="T67">
        <v>82.02</v>
      </c>
      <c r="U67">
        <v>2.5861000000000001</v>
      </c>
      <c r="AI67" s="26"/>
      <c r="AJ67" s="26"/>
      <c r="BN67"/>
      <c r="BO67"/>
    </row>
    <row r="68" spans="1:67" x14ac:dyDescent="0.25">
      <c r="A68">
        <v>691</v>
      </c>
      <c r="B68">
        <v>731.25</v>
      </c>
      <c r="C68">
        <v>7.085</v>
      </c>
      <c r="D68">
        <v>464</v>
      </c>
      <c r="E68">
        <v>1195</v>
      </c>
      <c r="F68">
        <v>322.39999999999998</v>
      </c>
      <c r="G68">
        <v>70.569999999999993</v>
      </c>
      <c r="H68">
        <v>4668</v>
      </c>
      <c r="I68">
        <v>9552</v>
      </c>
      <c r="J68">
        <v>3139</v>
      </c>
      <c r="K68">
        <v>8575</v>
      </c>
      <c r="L68">
        <v>2257</v>
      </c>
      <c r="M68">
        <v>9897</v>
      </c>
      <c r="N68">
        <v>544</v>
      </c>
      <c r="O68">
        <v>792.2</v>
      </c>
      <c r="P68">
        <v>1.8825000000000001</v>
      </c>
      <c r="Q68">
        <v>3.4828999999999999</v>
      </c>
      <c r="R68">
        <v>957</v>
      </c>
      <c r="S68">
        <v>75.430000000000007</v>
      </c>
      <c r="T68">
        <v>79.91</v>
      </c>
      <c r="U68">
        <v>2.5196999999999998</v>
      </c>
      <c r="AI68" s="26"/>
      <c r="AJ68" s="26"/>
      <c r="BN68"/>
      <c r="BO68"/>
    </row>
    <row r="69" spans="1:67" x14ac:dyDescent="0.25">
      <c r="A69">
        <v>692</v>
      </c>
      <c r="B69">
        <v>733.25</v>
      </c>
      <c r="C69">
        <v>7.0549999999999997</v>
      </c>
      <c r="D69">
        <v>469.5</v>
      </c>
      <c r="E69">
        <v>1201.75</v>
      </c>
      <c r="F69">
        <v>320</v>
      </c>
      <c r="G69">
        <v>70.94</v>
      </c>
      <c r="H69">
        <v>4665</v>
      </c>
      <c r="I69">
        <v>9594</v>
      </c>
      <c r="J69">
        <v>3128</v>
      </c>
      <c r="K69">
        <v>8589</v>
      </c>
      <c r="L69">
        <v>2254</v>
      </c>
      <c r="M69">
        <v>9833</v>
      </c>
      <c r="N69">
        <v>548</v>
      </c>
      <c r="O69">
        <v>801.4</v>
      </c>
      <c r="P69">
        <v>1.8975</v>
      </c>
      <c r="Q69">
        <v>3.4499</v>
      </c>
      <c r="R69">
        <v>939.5</v>
      </c>
      <c r="S69">
        <v>75.88</v>
      </c>
      <c r="T69">
        <v>80.150000000000006</v>
      </c>
      <c r="U69">
        <v>2.5150999999999999</v>
      </c>
      <c r="AI69" s="26"/>
      <c r="AJ69" s="26"/>
      <c r="BN69"/>
      <c r="BO69"/>
    </row>
    <row r="70" spans="1:67" x14ac:dyDescent="0.25">
      <c r="A70">
        <v>659.75</v>
      </c>
      <c r="B70">
        <v>692.5</v>
      </c>
      <c r="C70">
        <v>6.7824999999999998</v>
      </c>
      <c r="D70">
        <v>460.5</v>
      </c>
      <c r="E70">
        <v>1191</v>
      </c>
      <c r="F70">
        <v>316.3</v>
      </c>
      <c r="G70">
        <v>70.680000000000007</v>
      </c>
      <c r="H70">
        <v>4671</v>
      </c>
      <c r="I70">
        <v>9579</v>
      </c>
      <c r="J70">
        <v>3120</v>
      </c>
      <c r="K70">
        <v>8583</v>
      </c>
      <c r="L70">
        <v>2249</v>
      </c>
      <c r="M70">
        <v>9817</v>
      </c>
      <c r="N70">
        <v>539.25</v>
      </c>
      <c r="O70">
        <v>783.7</v>
      </c>
      <c r="P70">
        <v>1.895</v>
      </c>
      <c r="Q70">
        <v>3.4521000000000002</v>
      </c>
      <c r="R70">
        <v>929.5</v>
      </c>
      <c r="S70">
        <v>75.34</v>
      </c>
      <c r="T70">
        <v>80.040000000000006</v>
      </c>
      <c r="U70">
        <v>2.4927000000000001</v>
      </c>
      <c r="AI70" s="26"/>
      <c r="AJ70" s="26"/>
      <c r="BN70"/>
      <c r="BO70"/>
    </row>
    <row r="71" spans="1:67" x14ac:dyDescent="0.25">
      <c r="A71">
        <v>650.5</v>
      </c>
      <c r="B71">
        <v>681.25</v>
      </c>
      <c r="C71">
        <v>6.7424999999999997</v>
      </c>
      <c r="D71">
        <v>463.25</v>
      </c>
      <c r="E71">
        <v>1194.75</v>
      </c>
      <c r="F71">
        <v>315</v>
      </c>
      <c r="G71">
        <v>71.16</v>
      </c>
      <c r="H71">
        <v>4633</v>
      </c>
      <c r="I71">
        <v>9555</v>
      </c>
      <c r="J71">
        <v>3124</v>
      </c>
      <c r="K71">
        <v>8566</v>
      </c>
      <c r="L71">
        <v>2261</v>
      </c>
      <c r="M71">
        <v>9797</v>
      </c>
      <c r="N71">
        <v>541.5</v>
      </c>
      <c r="O71">
        <v>798.3</v>
      </c>
      <c r="P71">
        <v>1.9275</v>
      </c>
      <c r="Q71">
        <v>3.3761000000000001</v>
      </c>
      <c r="R71">
        <v>909.5</v>
      </c>
      <c r="S71">
        <v>75.61</v>
      </c>
      <c r="T71">
        <v>80.209999999999994</v>
      </c>
      <c r="U71">
        <v>2.4786000000000001</v>
      </c>
      <c r="AI71" s="26"/>
      <c r="AJ71" s="26"/>
      <c r="BN71"/>
      <c r="BO71"/>
    </row>
    <row r="72" spans="1:67" x14ac:dyDescent="0.25">
      <c r="A72">
        <v>654.5</v>
      </c>
      <c r="B72">
        <v>690.25</v>
      </c>
      <c r="C72">
        <v>6.7424999999999997</v>
      </c>
      <c r="D72">
        <v>461</v>
      </c>
      <c r="E72">
        <v>1190.75</v>
      </c>
      <c r="F72">
        <v>318.7</v>
      </c>
      <c r="G72">
        <v>68.98</v>
      </c>
      <c r="H72">
        <v>4612</v>
      </c>
      <c r="I72">
        <v>9568</v>
      </c>
      <c r="J72">
        <v>3105</v>
      </c>
      <c r="K72">
        <v>8553</v>
      </c>
      <c r="L72">
        <v>2265</v>
      </c>
      <c r="M72">
        <v>9786</v>
      </c>
      <c r="N72">
        <v>528.75</v>
      </c>
      <c r="O72">
        <v>787</v>
      </c>
      <c r="P72">
        <v>1.9225000000000001</v>
      </c>
      <c r="Q72">
        <v>3.1859000000000002</v>
      </c>
      <c r="R72">
        <v>865</v>
      </c>
      <c r="S72">
        <v>70.62</v>
      </c>
      <c r="T72">
        <v>75.17</v>
      </c>
      <c r="U72">
        <v>2.3525999999999998</v>
      </c>
      <c r="AI72" s="26"/>
      <c r="AJ72" s="26"/>
      <c r="BN72"/>
      <c r="BO72"/>
    </row>
    <row r="73" spans="1:67" x14ac:dyDescent="0.25">
      <c r="A73">
        <v>634</v>
      </c>
      <c r="B73">
        <v>668.25</v>
      </c>
      <c r="C73">
        <v>6.6025</v>
      </c>
      <c r="D73">
        <v>452</v>
      </c>
      <c r="E73">
        <v>1181.5</v>
      </c>
      <c r="F73">
        <v>315.39999999999998</v>
      </c>
      <c r="G73">
        <v>68.62</v>
      </c>
      <c r="H73">
        <v>4689</v>
      </c>
      <c r="I73">
        <v>9662</v>
      </c>
      <c r="J73">
        <v>3107</v>
      </c>
      <c r="K73">
        <v>8596</v>
      </c>
      <c r="L73">
        <v>2261</v>
      </c>
      <c r="M73">
        <v>9797</v>
      </c>
      <c r="N73">
        <v>528.75</v>
      </c>
      <c r="O73">
        <v>783</v>
      </c>
      <c r="P73">
        <v>1.895</v>
      </c>
      <c r="Q73">
        <v>3.2094</v>
      </c>
      <c r="R73">
        <v>878.25</v>
      </c>
      <c r="S73">
        <v>70.790000000000006</v>
      </c>
      <c r="T73">
        <v>75.22</v>
      </c>
      <c r="U73">
        <v>2.3712</v>
      </c>
      <c r="AI73" s="26"/>
      <c r="AJ73" s="26"/>
      <c r="BN73"/>
      <c r="BO73"/>
    </row>
    <row r="74" spans="1:67" x14ac:dyDescent="0.25">
      <c r="A74">
        <v>623.25</v>
      </c>
      <c r="B74">
        <v>659.75</v>
      </c>
      <c r="C74">
        <v>6.5274999999999999</v>
      </c>
      <c r="D74">
        <v>456.25</v>
      </c>
      <c r="E74">
        <v>1192.25</v>
      </c>
      <c r="F74">
        <v>311.2</v>
      </c>
      <c r="G74">
        <v>69.52</v>
      </c>
      <c r="H74">
        <v>4694</v>
      </c>
      <c r="I74">
        <v>9616</v>
      </c>
      <c r="J74">
        <v>3106</v>
      </c>
      <c r="K74">
        <v>8582</v>
      </c>
      <c r="L74">
        <v>2256</v>
      </c>
      <c r="M74">
        <v>9771</v>
      </c>
      <c r="N74">
        <v>532.75</v>
      </c>
      <c r="O74">
        <v>793.5</v>
      </c>
      <c r="P74">
        <v>1.895</v>
      </c>
      <c r="Q74">
        <v>3.2791999999999999</v>
      </c>
      <c r="R74">
        <v>917.5</v>
      </c>
      <c r="S74">
        <v>71.72</v>
      </c>
      <c r="T74">
        <v>76.2</v>
      </c>
      <c r="U74">
        <v>2.4024000000000001</v>
      </c>
      <c r="AI74" s="26"/>
      <c r="AJ74" s="26"/>
      <c r="BN74"/>
      <c r="BO74"/>
    </row>
    <row r="75" spans="1:67" x14ac:dyDescent="0.25">
      <c r="A75">
        <v>633.75</v>
      </c>
      <c r="B75">
        <v>667.25</v>
      </c>
      <c r="C75">
        <v>6.5525000000000002</v>
      </c>
      <c r="D75">
        <v>464.25</v>
      </c>
      <c r="E75">
        <v>1197.75</v>
      </c>
      <c r="F75">
        <v>316.5</v>
      </c>
      <c r="G75">
        <v>67.27</v>
      </c>
      <c r="H75">
        <v>4625</v>
      </c>
      <c r="I75">
        <v>9580</v>
      </c>
      <c r="J75">
        <v>3093</v>
      </c>
      <c r="K75">
        <v>8535</v>
      </c>
      <c r="L75">
        <v>2256</v>
      </c>
      <c r="M75">
        <v>9705</v>
      </c>
      <c r="N75">
        <v>523.5</v>
      </c>
      <c r="O75">
        <v>770.7</v>
      </c>
      <c r="P75">
        <v>1.89</v>
      </c>
      <c r="Q75">
        <v>3.0600999999999998</v>
      </c>
      <c r="R75">
        <v>830.75</v>
      </c>
      <c r="S75">
        <v>69.73</v>
      </c>
      <c r="T75">
        <v>73.75</v>
      </c>
      <c r="U75">
        <v>2.3119999999999998</v>
      </c>
      <c r="AI75" s="26"/>
      <c r="AJ75" s="26"/>
      <c r="BN75"/>
      <c r="BO75"/>
    </row>
    <row r="76" spans="1:67" x14ac:dyDescent="0.25">
      <c r="A76">
        <v>628.5</v>
      </c>
      <c r="B76">
        <v>664.25</v>
      </c>
      <c r="C76">
        <v>6.51</v>
      </c>
      <c r="D76">
        <v>457.75</v>
      </c>
      <c r="E76">
        <v>1192.25</v>
      </c>
      <c r="F76">
        <v>313.5</v>
      </c>
      <c r="G76">
        <v>66.63</v>
      </c>
      <c r="H76">
        <v>4616</v>
      </c>
      <c r="I76">
        <v>9486</v>
      </c>
      <c r="J76">
        <v>3064</v>
      </c>
      <c r="K76">
        <v>8445</v>
      </c>
      <c r="L76">
        <v>2230</v>
      </c>
      <c r="M76">
        <v>9611</v>
      </c>
      <c r="N76">
        <v>521.25</v>
      </c>
      <c r="O76">
        <v>766.1</v>
      </c>
      <c r="P76">
        <v>1.8875</v>
      </c>
      <c r="Q76">
        <v>3.0367999999999999</v>
      </c>
      <c r="R76">
        <v>823.25</v>
      </c>
      <c r="S76">
        <v>68.430000000000007</v>
      </c>
      <c r="T76">
        <v>72.45</v>
      </c>
      <c r="U76">
        <v>2.3022</v>
      </c>
      <c r="AI76" s="26"/>
      <c r="AJ76" s="26"/>
      <c r="BN76"/>
      <c r="BO76"/>
    </row>
    <row r="77" spans="1:67" x14ac:dyDescent="0.25">
      <c r="H77">
        <v>4559</v>
      </c>
      <c r="I77">
        <v>9430</v>
      </c>
      <c r="J77">
        <v>3033</v>
      </c>
      <c r="K77">
        <v>8390</v>
      </c>
      <c r="L77">
        <v>2217</v>
      </c>
      <c r="M77">
        <v>9523</v>
      </c>
      <c r="N77">
        <v>515.25</v>
      </c>
      <c r="O77">
        <v>747.8</v>
      </c>
      <c r="R77">
        <v>806.75</v>
      </c>
      <c r="T77">
        <v>72.25</v>
      </c>
      <c r="AI77" s="26"/>
      <c r="AJ77" s="26"/>
      <c r="BN77"/>
      <c r="BO77"/>
    </row>
    <row r="78" spans="1:67" x14ac:dyDescent="0.25">
      <c r="A78">
        <v>614</v>
      </c>
      <c r="B78">
        <v>652.25</v>
      </c>
      <c r="C78">
        <v>6.4</v>
      </c>
      <c r="D78">
        <v>441.5</v>
      </c>
      <c r="E78">
        <v>1147.75</v>
      </c>
      <c r="F78">
        <v>304.39999999999998</v>
      </c>
      <c r="G78">
        <v>65.430000000000007</v>
      </c>
      <c r="H78">
        <v>4586</v>
      </c>
      <c r="I78">
        <v>9496</v>
      </c>
      <c r="J78">
        <v>3037</v>
      </c>
      <c r="K78">
        <v>8404</v>
      </c>
      <c r="L78">
        <v>2222</v>
      </c>
      <c r="M78">
        <v>9539</v>
      </c>
      <c r="N78">
        <v>514.5</v>
      </c>
      <c r="O78">
        <v>745.4</v>
      </c>
      <c r="P78">
        <v>1.855</v>
      </c>
      <c r="Q78">
        <v>2.9462999999999999</v>
      </c>
      <c r="R78">
        <v>793.5</v>
      </c>
      <c r="S78">
        <v>68.34</v>
      </c>
      <c r="T78">
        <v>72.3</v>
      </c>
      <c r="U78">
        <v>2.2624</v>
      </c>
      <c r="AI78" s="26"/>
      <c r="AJ78" s="26"/>
      <c r="BN78"/>
      <c r="BO78"/>
    </row>
    <row r="79" spans="1:67" x14ac:dyDescent="0.25">
      <c r="A79">
        <v>614.5</v>
      </c>
      <c r="B79">
        <v>649</v>
      </c>
      <c r="C79">
        <v>6.4175000000000004</v>
      </c>
      <c r="D79">
        <v>442.25</v>
      </c>
      <c r="E79">
        <v>1149.25</v>
      </c>
      <c r="F79">
        <v>304.7</v>
      </c>
      <c r="G79">
        <v>65.42</v>
      </c>
      <c r="H79">
        <v>4632</v>
      </c>
      <c r="I79">
        <v>9506</v>
      </c>
      <c r="J79">
        <v>3011</v>
      </c>
      <c r="K79">
        <v>8367</v>
      </c>
      <c r="L79">
        <v>2209</v>
      </c>
      <c r="M79">
        <v>9531</v>
      </c>
      <c r="N79">
        <v>516.75</v>
      </c>
      <c r="P79">
        <v>1.8374999999999999</v>
      </c>
      <c r="Q79">
        <v>2.9590000000000001</v>
      </c>
      <c r="R79">
        <v>802</v>
      </c>
      <c r="S79">
        <v>68.13</v>
      </c>
      <c r="T79">
        <v>72.069999999999993</v>
      </c>
      <c r="U79">
        <v>2.2692000000000001</v>
      </c>
      <c r="AI79" s="26"/>
      <c r="AJ79" s="26"/>
      <c r="BN79"/>
      <c r="BO79"/>
    </row>
    <row r="80" spans="1:67" x14ac:dyDescent="0.25">
      <c r="A80">
        <v>604.5</v>
      </c>
      <c r="B80">
        <v>640.25</v>
      </c>
      <c r="C80">
        <v>6.3150000000000004</v>
      </c>
      <c r="D80">
        <v>436</v>
      </c>
      <c r="E80">
        <v>1143.75</v>
      </c>
      <c r="F80">
        <v>303.10000000000002</v>
      </c>
      <c r="G80">
        <v>65.349999999999994</v>
      </c>
      <c r="H80">
        <v>4615</v>
      </c>
      <c r="I80">
        <v>9570</v>
      </c>
      <c r="J80">
        <v>3008</v>
      </c>
      <c r="K80">
        <v>8408</v>
      </c>
      <c r="L80">
        <v>2218</v>
      </c>
      <c r="M80">
        <v>9647</v>
      </c>
      <c r="N80">
        <v>512.75</v>
      </c>
      <c r="O80">
        <v>743.9</v>
      </c>
      <c r="P80">
        <v>1.83</v>
      </c>
      <c r="Q80">
        <v>2.9624000000000001</v>
      </c>
      <c r="R80">
        <v>804.75</v>
      </c>
      <c r="S80">
        <v>68.349999999999994</v>
      </c>
      <c r="T80">
        <v>72.48</v>
      </c>
      <c r="U80">
        <v>2.2494999999999998</v>
      </c>
      <c r="AI80" s="26"/>
      <c r="AJ80" s="26"/>
      <c r="BN80"/>
      <c r="BO80"/>
    </row>
    <row r="81" spans="1:67" x14ac:dyDescent="0.25">
      <c r="A81">
        <v>597</v>
      </c>
      <c r="B81">
        <v>629.5</v>
      </c>
      <c r="C81">
        <v>6.2549999999999999</v>
      </c>
      <c r="D81">
        <v>430</v>
      </c>
      <c r="E81">
        <v>1139</v>
      </c>
      <c r="F81">
        <v>302.8</v>
      </c>
      <c r="G81">
        <v>66.650000000000006</v>
      </c>
      <c r="H81">
        <v>4653</v>
      </c>
      <c r="I81">
        <v>9565</v>
      </c>
      <c r="J81">
        <v>3021</v>
      </c>
      <c r="K81">
        <v>8418</v>
      </c>
      <c r="L81">
        <v>2240</v>
      </c>
      <c r="M81">
        <v>9654</v>
      </c>
      <c r="N81">
        <v>519.25</v>
      </c>
      <c r="O81">
        <v>752.7</v>
      </c>
      <c r="P81">
        <v>1.8274999999999999</v>
      </c>
      <c r="Q81">
        <v>2.9247999999999998</v>
      </c>
      <c r="R81">
        <v>794.75</v>
      </c>
      <c r="S81">
        <v>69.13</v>
      </c>
      <c r="T81">
        <v>72.97</v>
      </c>
      <c r="U81">
        <v>2.2616999999999998</v>
      </c>
      <c r="AI81" s="26"/>
      <c r="AJ81" s="26"/>
      <c r="BN81"/>
      <c r="BO81"/>
    </row>
    <row r="82" spans="1:67" x14ac:dyDescent="0.25">
      <c r="A82">
        <v>607.25</v>
      </c>
      <c r="B82">
        <v>634.5</v>
      </c>
      <c r="C82">
        <v>6.3025000000000002</v>
      </c>
      <c r="D82">
        <v>441.5</v>
      </c>
      <c r="E82">
        <v>1156.25</v>
      </c>
      <c r="F82">
        <v>304.5</v>
      </c>
      <c r="G82">
        <v>67.09</v>
      </c>
      <c r="H82">
        <v>4631</v>
      </c>
      <c r="I82">
        <v>9519</v>
      </c>
      <c r="J82">
        <v>3019</v>
      </c>
      <c r="K82">
        <v>8368</v>
      </c>
      <c r="L82">
        <v>2232</v>
      </c>
      <c r="M82">
        <v>9563</v>
      </c>
      <c r="N82">
        <v>517.75</v>
      </c>
      <c r="O82">
        <v>753.4</v>
      </c>
      <c r="P82">
        <v>1.8425</v>
      </c>
      <c r="Q82">
        <v>2.8618999999999999</v>
      </c>
      <c r="R82">
        <v>775</v>
      </c>
      <c r="S82">
        <v>67.900000000000006</v>
      </c>
      <c r="T82">
        <v>71.849999999999994</v>
      </c>
      <c r="U82">
        <v>2.2185999999999999</v>
      </c>
      <c r="AI82" s="26"/>
      <c r="AJ82" s="26"/>
      <c r="BN82"/>
      <c r="BO82"/>
    </row>
    <row r="83" spans="1:67" x14ac:dyDescent="0.25">
      <c r="A83">
        <v>618.25</v>
      </c>
      <c r="B83">
        <v>645.75</v>
      </c>
      <c r="C83">
        <v>6.3925000000000001</v>
      </c>
      <c r="D83">
        <v>443</v>
      </c>
      <c r="E83">
        <v>1157</v>
      </c>
      <c r="F83">
        <v>305</v>
      </c>
      <c r="G83">
        <v>67.19</v>
      </c>
      <c r="H83">
        <v>4623</v>
      </c>
      <c r="I83">
        <v>9421</v>
      </c>
      <c r="J83">
        <v>3001</v>
      </c>
      <c r="K83">
        <v>8302</v>
      </c>
      <c r="L83">
        <v>2222</v>
      </c>
      <c r="M83">
        <v>9529</v>
      </c>
      <c r="N83">
        <v>523</v>
      </c>
      <c r="O83">
        <v>756.7</v>
      </c>
      <c r="P83">
        <v>1.8225</v>
      </c>
      <c r="Q83">
        <v>2.9460999999999999</v>
      </c>
      <c r="R83">
        <v>797.75</v>
      </c>
      <c r="S83">
        <v>69.989999999999995</v>
      </c>
      <c r="T83">
        <v>74.06</v>
      </c>
      <c r="U83">
        <v>2.2757000000000001</v>
      </c>
      <c r="AI83" s="26"/>
      <c r="AJ83" s="26"/>
      <c r="BN83"/>
      <c r="BO83"/>
    </row>
    <row r="84" spans="1:67" x14ac:dyDescent="0.25">
      <c r="A84">
        <v>612.75</v>
      </c>
      <c r="B84">
        <v>640.75</v>
      </c>
      <c r="C84">
        <v>6.4050000000000002</v>
      </c>
      <c r="D84">
        <v>434.75</v>
      </c>
      <c r="E84">
        <v>1135</v>
      </c>
      <c r="F84">
        <v>300.10000000000002</v>
      </c>
      <c r="G84">
        <v>65.739999999999995</v>
      </c>
      <c r="H84">
        <v>4709</v>
      </c>
      <c r="I84">
        <v>9599</v>
      </c>
      <c r="J84">
        <v>3005</v>
      </c>
      <c r="K84">
        <v>8333</v>
      </c>
      <c r="L84">
        <v>2242</v>
      </c>
      <c r="M84">
        <v>9674</v>
      </c>
      <c r="N84">
        <v>520.5</v>
      </c>
      <c r="O84">
        <v>753.6</v>
      </c>
      <c r="P84">
        <v>1.7849999999999999</v>
      </c>
      <c r="Q84">
        <v>2.8942000000000001</v>
      </c>
      <c r="R84">
        <v>785.5</v>
      </c>
      <c r="S84">
        <v>68.510000000000005</v>
      </c>
      <c r="T84">
        <v>72.72</v>
      </c>
      <c r="U84">
        <v>2.2351999999999999</v>
      </c>
      <c r="AI84" s="26"/>
      <c r="AJ84" s="26"/>
      <c r="BN84"/>
      <c r="BO84"/>
    </row>
    <row r="85" spans="1:67" x14ac:dyDescent="0.25">
      <c r="A85">
        <v>613.75</v>
      </c>
      <c r="B85">
        <v>639.5</v>
      </c>
      <c r="C85">
        <v>6.4124999999999996</v>
      </c>
      <c r="D85">
        <v>437.25</v>
      </c>
      <c r="E85">
        <v>1141.75</v>
      </c>
      <c r="F85">
        <v>301.3</v>
      </c>
      <c r="G85">
        <v>66.58</v>
      </c>
      <c r="H85">
        <v>4733</v>
      </c>
      <c r="I85">
        <v>9644</v>
      </c>
      <c r="J85">
        <v>2992</v>
      </c>
      <c r="K85">
        <v>8315</v>
      </c>
      <c r="L85">
        <v>2221</v>
      </c>
      <c r="M85">
        <v>9642</v>
      </c>
      <c r="N85">
        <v>521.5</v>
      </c>
      <c r="O85">
        <v>757.2</v>
      </c>
      <c r="P85">
        <v>1.7749999999999999</v>
      </c>
      <c r="Q85">
        <v>2.9384000000000001</v>
      </c>
      <c r="R85">
        <v>801.5</v>
      </c>
      <c r="S85">
        <v>70.73</v>
      </c>
      <c r="T85">
        <v>75.02</v>
      </c>
      <c r="U85">
        <v>2.29</v>
      </c>
      <c r="AI85" s="26"/>
      <c r="AJ85" s="26"/>
      <c r="BN85"/>
      <c r="BO85"/>
    </row>
    <row r="86" spans="1:67" x14ac:dyDescent="0.25">
      <c r="A86">
        <v>624</v>
      </c>
      <c r="B86">
        <v>654.25</v>
      </c>
      <c r="C86">
        <v>6.6150000000000002</v>
      </c>
      <c r="D86">
        <v>439.5</v>
      </c>
      <c r="E86">
        <v>1141.5</v>
      </c>
      <c r="F86">
        <v>303.39999999999998</v>
      </c>
      <c r="G86">
        <v>66.900000000000006</v>
      </c>
      <c r="H86">
        <v>4754</v>
      </c>
      <c r="I86">
        <v>9634</v>
      </c>
      <c r="J86">
        <v>2997</v>
      </c>
      <c r="K86">
        <v>8331</v>
      </c>
      <c r="L86">
        <v>2219</v>
      </c>
      <c r="M86">
        <v>9656</v>
      </c>
      <c r="N86">
        <v>516.75</v>
      </c>
      <c r="O86">
        <v>751.7</v>
      </c>
      <c r="P86">
        <v>1.7825</v>
      </c>
      <c r="Q86">
        <v>2.9146999999999998</v>
      </c>
      <c r="R86">
        <v>801.25</v>
      </c>
      <c r="S86">
        <v>70.989999999999995</v>
      </c>
      <c r="T86">
        <v>75.36</v>
      </c>
      <c r="U86">
        <v>2.2972999999999999</v>
      </c>
      <c r="AI86" s="26"/>
      <c r="AJ86" s="26"/>
      <c r="BN86"/>
      <c r="BO86"/>
    </row>
    <row r="87" spans="1:67" x14ac:dyDescent="0.25">
      <c r="H87">
        <v>4710</v>
      </c>
      <c r="N87">
        <v>510.25</v>
      </c>
      <c r="O87">
        <v>741.2</v>
      </c>
      <c r="R87">
        <v>820.5</v>
      </c>
      <c r="T87">
        <v>77.14</v>
      </c>
      <c r="AI87" s="26"/>
      <c r="AJ87" s="26"/>
      <c r="BN87"/>
      <c r="BO87"/>
    </row>
    <row r="88" spans="1:67" x14ac:dyDescent="0.25">
      <c r="A88">
        <v>630.25</v>
      </c>
      <c r="B88">
        <v>665.75</v>
      </c>
      <c r="C88">
        <v>6.7050000000000001</v>
      </c>
      <c r="D88">
        <v>444</v>
      </c>
      <c r="E88">
        <v>1142.75</v>
      </c>
      <c r="F88">
        <v>303.3</v>
      </c>
      <c r="G88">
        <v>65.8</v>
      </c>
      <c r="H88">
        <v>4658</v>
      </c>
      <c r="I88">
        <v>9585</v>
      </c>
      <c r="J88">
        <v>3011</v>
      </c>
      <c r="K88">
        <v>8325</v>
      </c>
      <c r="L88">
        <v>2225</v>
      </c>
      <c r="M88">
        <v>9696</v>
      </c>
      <c r="N88">
        <v>509</v>
      </c>
      <c r="O88">
        <v>742.2</v>
      </c>
      <c r="P88">
        <v>1.8125</v>
      </c>
      <c r="Q88">
        <v>2.9483000000000001</v>
      </c>
      <c r="R88">
        <v>792.5</v>
      </c>
      <c r="S88">
        <v>72.489999999999995</v>
      </c>
      <c r="T88">
        <v>76.81</v>
      </c>
      <c r="U88">
        <v>2.3290000000000002</v>
      </c>
      <c r="AI88" s="26"/>
      <c r="AJ88" s="26"/>
      <c r="BN88"/>
      <c r="BO88"/>
    </row>
    <row r="89" spans="1:67" x14ac:dyDescent="0.25">
      <c r="A89">
        <v>636.75</v>
      </c>
      <c r="B89">
        <v>673.75</v>
      </c>
      <c r="C89">
        <v>6.7024999999999997</v>
      </c>
      <c r="D89">
        <v>448.75</v>
      </c>
      <c r="E89">
        <v>1149.25</v>
      </c>
      <c r="F89">
        <v>306.10000000000002</v>
      </c>
      <c r="G89">
        <v>67.17</v>
      </c>
      <c r="I89">
        <v>9616</v>
      </c>
      <c r="J89">
        <v>3020</v>
      </c>
      <c r="K89">
        <v>8346</v>
      </c>
      <c r="L89">
        <v>2229</v>
      </c>
      <c r="M89">
        <v>9772</v>
      </c>
      <c r="N89">
        <v>516</v>
      </c>
      <c r="O89">
        <v>755.1</v>
      </c>
      <c r="P89">
        <v>1.7875000000000001</v>
      </c>
      <c r="Q89">
        <v>2.9929000000000001</v>
      </c>
      <c r="R89">
        <v>825.5</v>
      </c>
      <c r="S89">
        <v>72.569999999999993</v>
      </c>
      <c r="T89">
        <v>76.72</v>
      </c>
      <c r="U89">
        <v>2.3241999999999998</v>
      </c>
      <c r="AI89" s="26"/>
      <c r="AJ89" s="26"/>
      <c r="BN89"/>
      <c r="BO89"/>
    </row>
    <row r="90" spans="1:67" x14ac:dyDescent="0.25">
      <c r="A90">
        <v>621.75</v>
      </c>
      <c r="B90">
        <v>656.25</v>
      </c>
      <c r="C90">
        <v>6.5750000000000002</v>
      </c>
      <c r="D90">
        <v>442.5</v>
      </c>
      <c r="E90">
        <v>1146.5</v>
      </c>
      <c r="F90">
        <v>307.2</v>
      </c>
      <c r="G90">
        <v>68.040000000000006</v>
      </c>
      <c r="H90">
        <v>4660</v>
      </c>
      <c r="I90">
        <v>9519</v>
      </c>
      <c r="J90">
        <v>2997</v>
      </c>
      <c r="K90">
        <v>8279</v>
      </c>
      <c r="L90">
        <v>2214</v>
      </c>
      <c r="M90">
        <v>9770</v>
      </c>
      <c r="N90">
        <v>515</v>
      </c>
      <c r="O90">
        <v>762.4</v>
      </c>
      <c r="P90">
        <v>1.7849999999999999</v>
      </c>
      <c r="Q90">
        <v>2.9992999999999999</v>
      </c>
      <c r="R90">
        <v>826</v>
      </c>
      <c r="S90">
        <v>72.5</v>
      </c>
      <c r="T90">
        <v>76.66</v>
      </c>
      <c r="U90">
        <v>2.335</v>
      </c>
      <c r="AI90" s="26"/>
      <c r="AJ90" s="26"/>
      <c r="BN90"/>
      <c r="BO90"/>
    </row>
    <row r="91" spans="1:67" x14ac:dyDescent="0.25">
      <c r="A91">
        <v>616.75</v>
      </c>
      <c r="B91">
        <v>658.5</v>
      </c>
      <c r="C91">
        <v>6.62</v>
      </c>
      <c r="D91">
        <v>441.75</v>
      </c>
      <c r="E91">
        <v>1134.75</v>
      </c>
      <c r="F91">
        <v>305.60000000000002</v>
      </c>
      <c r="G91">
        <v>69.31</v>
      </c>
      <c r="H91">
        <v>4574</v>
      </c>
      <c r="I91">
        <v>9507</v>
      </c>
      <c r="J91">
        <v>2999</v>
      </c>
      <c r="K91">
        <v>8290</v>
      </c>
      <c r="L91">
        <v>2214</v>
      </c>
      <c r="M91">
        <v>9803</v>
      </c>
      <c r="N91">
        <v>519.25</v>
      </c>
      <c r="O91">
        <v>768.7</v>
      </c>
      <c r="P91">
        <v>1.8149999999999999</v>
      </c>
      <c r="Q91">
        <v>3.081</v>
      </c>
      <c r="R91">
        <v>846.75</v>
      </c>
      <c r="S91">
        <v>74.72</v>
      </c>
      <c r="T91">
        <v>78.87</v>
      </c>
      <c r="U91">
        <v>2.3950999999999998</v>
      </c>
      <c r="AI91" s="26"/>
      <c r="AJ91" s="26"/>
      <c r="BN91"/>
      <c r="BO91"/>
    </row>
    <row r="92" spans="1:67" x14ac:dyDescent="0.25">
      <c r="A92">
        <v>612</v>
      </c>
      <c r="B92">
        <v>654</v>
      </c>
      <c r="C92">
        <v>6.6475</v>
      </c>
      <c r="D92">
        <v>440.25</v>
      </c>
      <c r="E92">
        <v>1132</v>
      </c>
      <c r="F92">
        <v>304.8</v>
      </c>
      <c r="G92">
        <v>69.67</v>
      </c>
      <c r="H92">
        <v>4598</v>
      </c>
      <c r="I92">
        <v>9626</v>
      </c>
      <c r="J92">
        <v>3000</v>
      </c>
      <c r="K92">
        <v>8331</v>
      </c>
      <c r="L92">
        <v>2210</v>
      </c>
      <c r="M92">
        <v>9858</v>
      </c>
      <c r="N92">
        <v>528</v>
      </c>
      <c r="O92">
        <v>774.2</v>
      </c>
      <c r="P92">
        <v>1.85</v>
      </c>
      <c r="Q92">
        <v>3.1844000000000001</v>
      </c>
      <c r="R92">
        <v>871.25</v>
      </c>
      <c r="S92">
        <v>77.41</v>
      </c>
      <c r="T92">
        <v>81.69</v>
      </c>
      <c r="U92">
        <v>2.4579</v>
      </c>
      <c r="AI92" s="26"/>
      <c r="AJ92" s="26"/>
      <c r="BN92"/>
      <c r="BO92"/>
    </row>
    <row r="93" spans="1:67" x14ac:dyDescent="0.25">
      <c r="A93">
        <v>614.75</v>
      </c>
      <c r="B93">
        <v>656.25</v>
      </c>
      <c r="C93">
        <v>6.68</v>
      </c>
      <c r="D93">
        <v>439.5</v>
      </c>
      <c r="E93">
        <v>1134</v>
      </c>
      <c r="F93">
        <v>304.5</v>
      </c>
      <c r="G93">
        <v>70.14</v>
      </c>
      <c r="H93">
        <v>4690</v>
      </c>
      <c r="I93">
        <v>9645</v>
      </c>
      <c r="J93">
        <v>3000</v>
      </c>
      <c r="K93">
        <v>8336</v>
      </c>
      <c r="L93">
        <v>2210</v>
      </c>
      <c r="M93">
        <v>9917</v>
      </c>
      <c r="N93">
        <v>533.25</v>
      </c>
      <c r="O93">
        <v>781.2</v>
      </c>
      <c r="P93">
        <v>1.8425</v>
      </c>
      <c r="Q93">
        <v>3.2968000000000002</v>
      </c>
      <c r="R93">
        <v>929.25</v>
      </c>
      <c r="S93">
        <v>80.31</v>
      </c>
      <c r="T93">
        <v>84.62</v>
      </c>
      <c r="U93">
        <v>2.5240999999999998</v>
      </c>
      <c r="AI93" s="26"/>
      <c r="AJ93" s="26"/>
      <c r="BN93"/>
      <c r="BO93"/>
    </row>
    <row r="94" spans="1:67" x14ac:dyDescent="0.25">
      <c r="A94">
        <v>617.25</v>
      </c>
      <c r="B94">
        <v>655.5</v>
      </c>
      <c r="C94">
        <v>6.665</v>
      </c>
      <c r="D94">
        <v>446.75</v>
      </c>
      <c r="E94">
        <v>1138.5</v>
      </c>
      <c r="F94">
        <v>305.5</v>
      </c>
      <c r="G94">
        <v>70.930000000000007</v>
      </c>
      <c r="H94">
        <v>4679</v>
      </c>
      <c r="I94">
        <v>9570</v>
      </c>
      <c r="J94">
        <v>2980</v>
      </c>
      <c r="K94">
        <v>8297</v>
      </c>
      <c r="L94">
        <v>2196</v>
      </c>
      <c r="M94">
        <v>9866</v>
      </c>
      <c r="N94">
        <v>533.25</v>
      </c>
      <c r="O94">
        <v>783.2</v>
      </c>
      <c r="P94">
        <v>1.8674999999999999</v>
      </c>
      <c r="Q94">
        <v>3.3746</v>
      </c>
      <c r="R94">
        <v>924.25</v>
      </c>
      <c r="S94">
        <v>81.52</v>
      </c>
      <c r="T94">
        <v>85.89</v>
      </c>
      <c r="U94">
        <v>2.5583</v>
      </c>
      <c r="AI94" s="26"/>
      <c r="AJ94" s="26"/>
      <c r="BN94"/>
      <c r="BO94"/>
    </row>
    <row r="95" spans="1:67" x14ac:dyDescent="0.25">
      <c r="A95">
        <v>614.25</v>
      </c>
      <c r="B95">
        <v>654.5</v>
      </c>
      <c r="C95">
        <v>6.6574999999999998</v>
      </c>
      <c r="D95">
        <v>445.25</v>
      </c>
      <c r="E95">
        <v>1132</v>
      </c>
      <c r="F95">
        <v>306.39999999999998</v>
      </c>
      <c r="G95">
        <v>70.58</v>
      </c>
      <c r="H95">
        <v>4667</v>
      </c>
      <c r="I95">
        <v>9609</v>
      </c>
      <c r="J95">
        <v>2978</v>
      </c>
      <c r="K95">
        <v>8307</v>
      </c>
      <c r="L95">
        <v>2202</v>
      </c>
      <c r="M95">
        <v>9910</v>
      </c>
      <c r="N95">
        <v>526.25</v>
      </c>
      <c r="O95">
        <v>776.8</v>
      </c>
      <c r="P95">
        <v>1.8774999999999999</v>
      </c>
      <c r="Q95">
        <v>3.3283999999999998</v>
      </c>
      <c r="R95">
        <v>912.5</v>
      </c>
      <c r="S95">
        <v>80.06</v>
      </c>
      <c r="T95">
        <v>84.58</v>
      </c>
      <c r="U95">
        <v>2.5270999999999999</v>
      </c>
      <c r="AI95" s="26"/>
      <c r="AJ95" s="26"/>
      <c r="BN95"/>
      <c r="BO95"/>
    </row>
    <row r="96" spans="1:67" x14ac:dyDescent="0.25">
      <c r="A96">
        <v>613.75</v>
      </c>
      <c r="B96">
        <v>654.25</v>
      </c>
      <c r="C96">
        <v>6.665</v>
      </c>
      <c r="D96">
        <v>446</v>
      </c>
      <c r="E96">
        <v>1135.5</v>
      </c>
      <c r="F96">
        <v>309.10000000000002</v>
      </c>
      <c r="G96">
        <v>70.709999999999994</v>
      </c>
      <c r="H96">
        <v>4701</v>
      </c>
      <c r="I96">
        <v>9672</v>
      </c>
      <c r="J96">
        <v>2984</v>
      </c>
      <c r="K96">
        <v>8367</v>
      </c>
      <c r="L96">
        <v>2209</v>
      </c>
      <c r="M96">
        <v>9990</v>
      </c>
      <c r="N96">
        <v>527.5</v>
      </c>
      <c r="O96">
        <v>777.1</v>
      </c>
      <c r="P96">
        <v>1.89</v>
      </c>
      <c r="Q96">
        <v>3.3683000000000001</v>
      </c>
      <c r="R96">
        <v>936</v>
      </c>
      <c r="S96">
        <v>81.45</v>
      </c>
      <c r="T96">
        <v>85.96</v>
      </c>
      <c r="U96">
        <v>2.5565000000000002</v>
      </c>
      <c r="AI96" s="26"/>
      <c r="AJ96" s="26"/>
      <c r="BN96"/>
      <c r="BO96"/>
    </row>
    <row r="97" spans="1:67" x14ac:dyDescent="0.25">
      <c r="A97">
        <v>611.5</v>
      </c>
      <c r="B97">
        <v>646.75</v>
      </c>
      <c r="C97">
        <v>6.6974999999999998</v>
      </c>
      <c r="D97">
        <v>446</v>
      </c>
      <c r="E97">
        <v>1137.5</v>
      </c>
      <c r="F97">
        <v>311.2</v>
      </c>
      <c r="G97">
        <v>70.81</v>
      </c>
      <c r="H97">
        <v>4677</v>
      </c>
      <c r="I97">
        <v>9760</v>
      </c>
      <c r="J97">
        <v>2996</v>
      </c>
      <c r="K97">
        <v>8428</v>
      </c>
      <c r="L97">
        <v>2223</v>
      </c>
      <c r="M97">
        <v>10069</v>
      </c>
      <c r="N97">
        <v>525.75</v>
      </c>
      <c r="O97">
        <v>771.9</v>
      </c>
      <c r="P97">
        <v>1.9</v>
      </c>
      <c r="Q97">
        <v>3.3327</v>
      </c>
      <c r="R97">
        <v>922.5</v>
      </c>
      <c r="S97">
        <v>79.459999999999994</v>
      </c>
      <c r="T97">
        <v>84.12</v>
      </c>
      <c r="U97">
        <v>2.5133999999999999</v>
      </c>
      <c r="AI97" s="26"/>
      <c r="AJ97" s="26"/>
      <c r="BN97"/>
      <c r="BO97"/>
    </row>
    <row r="98" spans="1:67" x14ac:dyDescent="0.25">
      <c r="A98">
        <v>613.5</v>
      </c>
      <c r="B98">
        <v>648.5</v>
      </c>
      <c r="C98">
        <v>6.69</v>
      </c>
      <c r="D98">
        <v>451.75</v>
      </c>
      <c r="E98">
        <v>1141.5</v>
      </c>
      <c r="F98">
        <v>313.3</v>
      </c>
      <c r="G98">
        <v>72.25</v>
      </c>
      <c r="H98">
        <v>4712</v>
      </c>
      <c r="I98">
        <v>9967</v>
      </c>
      <c r="J98">
        <v>3024</v>
      </c>
      <c r="K98">
        <v>8553</v>
      </c>
      <c r="L98">
        <v>2245</v>
      </c>
      <c r="M98">
        <v>10258</v>
      </c>
      <c r="N98">
        <v>528.25</v>
      </c>
      <c r="O98">
        <v>793.9</v>
      </c>
      <c r="P98">
        <v>1.895</v>
      </c>
      <c r="Q98">
        <v>3.3761999999999999</v>
      </c>
      <c r="R98">
        <v>925.5</v>
      </c>
      <c r="S98">
        <v>80.459999999999994</v>
      </c>
      <c r="T98">
        <v>85.04</v>
      </c>
      <c r="U98">
        <v>2.5308000000000002</v>
      </c>
      <c r="AI98" s="26"/>
      <c r="AJ98" s="26"/>
      <c r="BN98"/>
      <c r="BO98"/>
    </row>
    <row r="99" spans="1:67" x14ac:dyDescent="0.25">
      <c r="A99">
        <v>620.5</v>
      </c>
      <c r="B99">
        <v>652</v>
      </c>
      <c r="C99">
        <v>6.7175000000000002</v>
      </c>
      <c r="D99">
        <v>459.75</v>
      </c>
      <c r="E99">
        <v>1167.25</v>
      </c>
      <c r="F99">
        <v>319.2</v>
      </c>
      <c r="G99">
        <v>74</v>
      </c>
      <c r="H99">
        <v>4787</v>
      </c>
      <c r="I99">
        <v>9963</v>
      </c>
      <c r="J99">
        <v>3032</v>
      </c>
      <c r="K99">
        <v>8547</v>
      </c>
      <c r="L99">
        <v>2253</v>
      </c>
      <c r="M99">
        <v>10108</v>
      </c>
      <c r="N99">
        <v>538.5</v>
      </c>
      <c r="O99">
        <v>808</v>
      </c>
      <c r="P99">
        <v>1.91</v>
      </c>
      <c r="Q99">
        <v>3.4841000000000002</v>
      </c>
      <c r="R99">
        <v>948</v>
      </c>
      <c r="S99">
        <v>82.42</v>
      </c>
      <c r="T99">
        <v>86.91</v>
      </c>
      <c r="U99">
        <v>2.5895000000000001</v>
      </c>
      <c r="AI99" s="26"/>
      <c r="AJ99" s="26"/>
      <c r="BN99"/>
      <c r="BO99"/>
    </row>
    <row r="100" spans="1:67" x14ac:dyDescent="0.25">
      <c r="A100">
        <v>635.25</v>
      </c>
      <c r="B100">
        <v>662.25</v>
      </c>
      <c r="C100">
        <v>6.8150000000000004</v>
      </c>
      <c r="D100">
        <v>466.5</v>
      </c>
      <c r="E100">
        <v>1177.75</v>
      </c>
      <c r="F100">
        <v>320</v>
      </c>
      <c r="G100">
        <v>73.290000000000006</v>
      </c>
      <c r="I100">
        <v>9949</v>
      </c>
      <c r="J100">
        <v>3039</v>
      </c>
      <c r="K100">
        <v>8555</v>
      </c>
      <c r="L100">
        <v>2264</v>
      </c>
      <c r="M100">
        <v>9931</v>
      </c>
      <c r="N100">
        <v>532.5</v>
      </c>
      <c r="O100">
        <v>789.1</v>
      </c>
      <c r="P100">
        <v>1.9275</v>
      </c>
      <c r="Q100">
        <v>3.3774999999999999</v>
      </c>
      <c r="R100">
        <v>918</v>
      </c>
      <c r="S100">
        <v>80.959999999999994</v>
      </c>
      <c r="T100">
        <v>85.99</v>
      </c>
      <c r="U100">
        <v>2.5537999999999998</v>
      </c>
      <c r="AI100" s="26"/>
      <c r="AJ100" s="26"/>
      <c r="BN100"/>
      <c r="BO100"/>
    </row>
    <row r="101" spans="1:67" x14ac:dyDescent="0.25">
      <c r="A101">
        <v>640.5</v>
      </c>
      <c r="B101">
        <v>673.5</v>
      </c>
      <c r="C101">
        <v>6.9424999999999999</v>
      </c>
      <c r="D101">
        <v>472.5</v>
      </c>
      <c r="E101">
        <v>1188.75</v>
      </c>
      <c r="F101">
        <v>319.10000000000002</v>
      </c>
      <c r="G101">
        <v>73.83</v>
      </c>
      <c r="I101">
        <v>9903</v>
      </c>
      <c r="J101">
        <v>3046</v>
      </c>
      <c r="K101">
        <v>8549</v>
      </c>
      <c r="L101">
        <v>2259</v>
      </c>
      <c r="M101">
        <v>9892</v>
      </c>
      <c r="N101">
        <v>533.5</v>
      </c>
      <c r="O101">
        <v>793.7</v>
      </c>
      <c r="P101">
        <v>1.9450000000000001</v>
      </c>
      <c r="Q101">
        <v>3.3275000000000001</v>
      </c>
      <c r="R101">
        <v>926.5</v>
      </c>
      <c r="S101">
        <v>80.23</v>
      </c>
      <c r="T101">
        <v>84.88</v>
      </c>
      <c r="U101">
        <v>2.5142000000000002</v>
      </c>
      <c r="AI101" s="26"/>
      <c r="AJ101" s="26"/>
      <c r="BN101"/>
      <c r="BO101"/>
    </row>
    <row r="102" spans="1:67" x14ac:dyDescent="0.25">
      <c r="A102">
        <v>643</v>
      </c>
      <c r="B102">
        <v>677</v>
      </c>
      <c r="C102">
        <v>7.0724999999999998</v>
      </c>
      <c r="D102">
        <v>475</v>
      </c>
      <c r="E102">
        <v>1190</v>
      </c>
      <c r="F102">
        <v>320.3</v>
      </c>
      <c r="G102">
        <v>72.44</v>
      </c>
      <c r="H102">
        <v>4649</v>
      </c>
      <c r="I102">
        <v>9795</v>
      </c>
      <c r="J102">
        <v>3058</v>
      </c>
      <c r="K102">
        <v>8507</v>
      </c>
      <c r="L102">
        <v>2258</v>
      </c>
      <c r="M102">
        <v>9837</v>
      </c>
      <c r="N102">
        <v>530</v>
      </c>
      <c r="O102">
        <v>780.7</v>
      </c>
      <c r="P102">
        <v>1.9475</v>
      </c>
      <c r="Q102">
        <v>3.2136</v>
      </c>
      <c r="R102">
        <v>886</v>
      </c>
      <c r="S102">
        <v>78.290000000000006</v>
      </c>
      <c r="T102">
        <v>82.94</v>
      </c>
      <c r="U102">
        <v>2.4575</v>
      </c>
      <c r="AI102" s="26"/>
      <c r="AJ102" s="26"/>
      <c r="BN102"/>
      <c r="BO102"/>
    </row>
    <row r="103" spans="1:67" x14ac:dyDescent="0.25">
      <c r="A103">
        <v>656.25</v>
      </c>
      <c r="B103">
        <v>692.25</v>
      </c>
      <c r="C103">
        <v>7.1974999999999998</v>
      </c>
      <c r="D103">
        <v>482.25</v>
      </c>
      <c r="E103">
        <v>1194</v>
      </c>
      <c r="F103">
        <v>323.60000000000002</v>
      </c>
      <c r="G103">
        <v>71.62</v>
      </c>
      <c r="H103">
        <v>4635</v>
      </c>
      <c r="I103">
        <v>9754</v>
      </c>
      <c r="J103">
        <v>3049</v>
      </c>
      <c r="K103">
        <v>8461</v>
      </c>
      <c r="L103">
        <v>2256</v>
      </c>
      <c r="M103">
        <v>9751</v>
      </c>
      <c r="N103">
        <v>531.25</v>
      </c>
      <c r="O103">
        <v>786.1</v>
      </c>
      <c r="P103">
        <v>1.95</v>
      </c>
      <c r="Q103">
        <v>3.2685</v>
      </c>
      <c r="R103">
        <v>897.5</v>
      </c>
      <c r="S103">
        <v>79.59</v>
      </c>
      <c r="T103">
        <v>84.47</v>
      </c>
      <c r="U103">
        <v>2.4969000000000001</v>
      </c>
      <c r="AI103" s="26"/>
      <c r="AJ103" s="26"/>
      <c r="BN103"/>
      <c r="BO103"/>
    </row>
    <row r="104" spans="1:67" x14ac:dyDescent="0.25">
      <c r="A104">
        <v>655.75</v>
      </c>
      <c r="B104">
        <v>697.25</v>
      </c>
      <c r="C104">
        <v>7.2324999999999999</v>
      </c>
      <c r="D104">
        <v>477.5</v>
      </c>
      <c r="E104">
        <v>1181.5</v>
      </c>
      <c r="F104">
        <v>320.7</v>
      </c>
      <c r="G104">
        <v>70.27</v>
      </c>
      <c r="I104">
        <v>9714</v>
      </c>
      <c r="J104">
        <v>3043</v>
      </c>
      <c r="K104">
        <v>8431</v>
      </c>
      <c r="L104">
        <v>2259</v>
      </c>
      <c r="M104">
        <v>9673</v>
      </c>
      <c r="N104">
        <v>528.5</v>
      </c>
      <c r="O104">
        <v>775.5</v>
      </c>
      <c r="P104">
        <v>1.9375</v>
      </c>
      <c r="Q104">
        <v>3.2303000000000002</v>
      </c>
      <c r="R104">
        <v>896.75</v>
      </c>
      <c r="S104">
        <v>78.069999999999993</v>
      </c>
      <c r="T104">
        <v>83.06</v>
      </c>
      <c r="U104">
        <v>2.4617</v>
      </c>
      <c r="AI104" s="26"/>
      <c r="AJ104" s="26"/>
      <c r="BN104"/>
      <c r="BO104"/>
    </row>
    <row r="105" spans="1:67" x14ac:dyDescent="0.25">
      <c r="A105">
        <v>668.5</v>
      </c>
      <c r="B105">
        <v>704.25</v>
      </c>
      <c r="C105">
        <v>7.3075000000000001</v>
      </c>
      <c r="D105">
        <v>482</v>
      </c>
      <c r="E105">
        <v>1180.25</v>
      </c>
      <c r="F105">
        <v>319.39999999999998</v>
      </c>
      <c r="G105">
        <v>69.75</v>
      </c>
      <c r="H105">
        <v>4610</v>
      </c>
      <c r="I105">
        <v>9679</v>
      </c>
      <c r="J105">
        <v>3039</v>
      </c>
      <c r="K105">
        <v>8409</v>
      </c>
      <c r="L105">
        <v>2263</v>
      </c>
      <c r="M105">
        <v>9641</v>
      </c>
      <c r="N105">
        <v>528.25</v>
      </c>
      <c r="O105">
        <v>768.1</v>
      </c>
      <c r="P105">
        <v>1.95</v>
      </c>
      <c r="Q105">
        <v>3.2608999999999999</v>
      </c>
      <c r="R105">
        <v>912.75</v>
      </c>
      <c r="S105">
        <v>80.010000000000005</v>
      </c>
      <c r="T105">
        <v>84.94</v>
      </c>
      <c r="U105">
        <v>2.516</v>
      </c>
      <c r="AI105" s="26"/>
      <c r="AJ105" s="26"/>
      <c r="BN105"/>
      <c r="BO105"/>
    </row>
    <row r="106" spans="1:67" x14ac:dyDescent="0.25">
      <c r="H106">
        <v>4567</v>
      </c>
      <c r="I106">
        <v>9627</v>
      </c>
      <c r="J106">
        <v>3051</v>
      </c>
      <c r="K106">
        <v>8414</v>
      </c>
      <c r="L106">
        <v>2279</v>
      </c>
      <c r="M106">
        <v>9646</v>
      </c>
      <c r="N106">
        <v>519.5</v>
      </c>
      <c r="O106">
        <v>755</v>
      </c>
      <c r="R106">
        <v>899.5</v>
      </c>
      <c r="T106">
        <v>83.31</v>
      </c>
      <c r="AI106" s="26"/>
      <c r="AJ106" s="26"/>
      <c r="BN106"/>
      <c r="BO106"/>
    </row>
    <row r="107" spans="1:67" x14ac:dyDescent="0.25">
      <c r="A107">
        <v>679</v>
      </c>
      <c r="B107">
        <v>709</v>
      </c>
      <c r="C107">
        <v>7.2750000000000004</v>
      </c>
      <c r="D107">
        <v>486.5</v>
      </c>
      <c r="E107">
        <v>1187.75</v>
      </c>
      <c r="F107">
        <v>322.39999999999998</v>
      </c>
      <c r="G107">
        <v>69.38</v>
      </c>
      <c r="H107">
        <v>4578</v>
      </c>
      <c r="I107">
        <v>9650</v>
      </c>
      <c r="J107">
        <v>3048</v>
      </c>
      <c r="K107">
        <v>8475</v>
      </c>
      <c r="L107">
        <v>2277</v>
      </c>
      <c r="M107">
        <v>9692</v>
      </c>
      <c r="N107">
        <v>529.75</v>
      </c>
      <c r="O107">
        <v>768.4</v>
      </c>
      <c r="P107">
        <v>1.9624999999999999</v>
      </c>
      <c r="Q107">
        <v>3.3188</v>
      </c>
      <c r="R107">
        <v>929.25</v>
      </c>
      <c r="S107">
        <v>81.430000000000007</v>
      </c>
      <c r="T107">
        <v>86.38</v>
      </c>
      <c r="U107">
        <v>2.5767000000000002</v>
      </c>
      <c r="AI107" s="26"/>
      <c r="AJ107" s="26"/>
      <c r="BN107"/>
      <c r="BO107"/>
    </row>
    <row r="108" spans="1:67" x14ac:dyDescent="0.25">
      <c r="A108">
        <v>680.75</v>
      </c>
      <c r="B108">
        <v>713.25</v>
      </c>
      <c r="C108">
        <v>7.2874999999999996</v>
      </c>
      <c r="D108">
        <v>485</v>
      </c>
      <c r="E108">
        <v>1186.75</v>
      </c>
      <c r="F108">
        <v>321.8</v>
      </c>
      <c r="G108">
        <v>69.3</v>
      </c>
      <c r="H108">
        <v>4563</v>
      </c>
      <c r="I108">
        <v>9789</v>
      </c>
      <c r="J108">
        <v>3055</v>
      </c>
      <c r="K108">
        <v>8531</v>
      </c>
      <c r="L108">
        <v>2290</v>
      </c>
      <c r="M108">
        <v>9779</v>
      </c>
      <c r="N108">
        <v>527</v>
      </c>
      <c r="O108">
        <v>767.8</v>
      </c>
      <c r="P108">
        <v>1.95</v>
      </c>
      <c r="Q108">
        <v>3.2887</v>
      </c>
      <c r="R108">
        <v>953</v>
      </c>
      <c r="S108">
        <v>81.19</v>
      </c>
      <c r="T108">
        <v>85.96</v>
      </c>
      <c r="U108">
        <v>2.5402</v>
      </c>
      <c r="AI108" s="26"/>
      <c r="AJ108" s="26"/>
      <c r="BN108"/>
      <c r="BO108"/>
    </row>
    <row r="109" spans="1:67" x14ac:dyDescent="0.25">
      <c r="A109">
        <v>692.25</v>
      </c>
      <c r="B109">
        <v>723.5</v>
      </c>
      <c r="C109">
        <v>7.3475000000000001</v>
      </c>
      <c r="D109">
        <v>489.25</v>
      </c>
      <c r="E109">
        <v>1193.5</v>
      </c>
      <c r="F109">
        <v>324.39999999999998</v>
      </c>
      <c r="G109">
        <v>69.87</v>
      </c>
      <c r="H109">
        <v>4658</v>
      </c>
      <c r="I109">
        <v>9834</v>
      </c>
      <c r="J109">
        <v>3079</v>
      </c>
      <c r="K109">
        <v>8568</v>
      </c>
      <c r="L109">
        <v>2306</v>
      </c>
      <c r="M109">
        <v>9805</v>
      </c>
      <c r="N109">
        <v>528.75</v>
      </c>
      <c r="O109">
        <v>766.9</v>
      </c>
      <c r="P109">
        <v>1.9424999999999999</v>
      </c>
      <c r="Q109">
        <v>3.3405</v>
      </c>
      <c r="R109">
        <v>938.25</v>
      </c>
      <c r="S109">
        <v>81.45</v>
      </c>
      <c r="T109">
        <v>86.31</v>
      </c>
      <c r="U109">
        <v>2.5743999999999998</v>
      </c>
      <c r="AI109" s="26"/>
      <c r="AJ109" s="26"/>
      <c r="BN109"/>
      <c r="BO109"/>
    </row>
    <row r="110" spans="1:67" x14ac:dyDescent="0.25">
      <c r="A110">
        <v>698.75</v>
      </c>
      <c r="B110">
        <v>727.25</v>
      </c>
      <c r="C110">
        <v>7.3674999999999997</v>
      </c>
      <c r="D110">
        <v>497.75</v>
      </c>
      <c r="E110">
        <v>1203</v>
      </c>
      <c r="F110">
        <v>325.5</v>
      </c>
      <c r="G110">
        <v>70.42</v>
      </c>
      <c r="H110">
        <v>4627</v>
      </c>
      <c r="I110">
        <v>9712</v>
      </c>
      <c r="J110">
        <v>3077</v>
      </c>
      <c r="K110">
        <v>8478</v>
      </c>
      <c r="L110">
        <v>2299</v>
      </c>
      <c r="M110">
        <v>9630</v>
      </c>
      <c r="N110">
        <v>530.25</v>
      </c>
      <c r="O110">
        <v>770.9</v>
      </c>
      <c r="P110">
        <v>1.9524999999999999</v>
      </c>
      <c r="Q110">
        <v>3.4552</v>
      </c>
      <c r="R110">
        <v>956.25</v>
      </c>
      <c r="S110">
        <v>84.74</v>
      </c>
      <c r="T110">
        <v>89.64</v>
      </c>
      <c r="U110">
        <v>2.6760999999999999</v>
      </c>
      <c r="AI110" s="26"/>
      <c r="AJ110" s="26"/>
      <c r="BN110"/>
      <c r="BO110"/>
    </row>
    <row r="111" spans="1:67" x14ac:dyDescent="0.25">
      <c r="A111">
        <v>696.25</v>
      </c>
      <c r="B111">
        <v>727.5</v>
      </c>
      <c r="C111">
        <v>7.4175000000000004</v>
      </c>
      <c r="D111">
        <v>498</v>
      </c>
      <c r="E111">
        <v>1201</v>
      </c>
      <c r="F111">
        <v>325.60000000000002</v>
      </c>
      <c r="G111">
        <v>70.69</v>
      </c>
      <c r="H111">
        <v>4575</v>
      </c>
      <c r="I111">
        <v>9632</v>
      </c>
      <c r="J111">
        <v>3045</v>
      </c>
      <c r="K111">
        <v>8412</v>
      </c>
      <c r="L111">
        <v>2279</v>
      </c>
      <c r="M111">
        <v>9538</v>
      </c>
      <c r="N111">
        <v>529.75</v>
      </c>
      <c r="P111">
        <v>1.9475</v>
      </c>
      <c r="Q111">
        <v>3.4457</v>
      </c>
      <c r="R111">
        <v>959</v>
      </c>
      <c r="S111">
        <v>85.32</v>
      </c>
      <c r="T111">
        <v>90.49</v>
      </c>
      <c r="U111">
        <v>2.6983999999999999</v>
      </c>
      <c r="AI111" s="26"/>
      <c r="AJ111" s="26"/>
      <c r="BN111"/>
      <c r="BO111"/>
    </row>
    <row r="112" spans="1:67" x14ac:dyDescent="0.25">
      <c r="A112">
        <v>669.75</v>
      </c>
      <c r="B112">
        <v>711.25</v>
      </c>
      <c r="C112">
        <v>7.2450000000000001</v>
      </c>
      <c r="D112">
        <v>481</v>
      </c>
      <c r="E112">
        <v>1170.75</v>
      </c>
      <c r="F112">
        <v>322.10000000000002</v>
      </c>
      <c r="G112">
        <v>69.17</v>
      </c>
      <c r="H112">
        <v>4501</v>
      </c>
      <c r="I112">
        <v>9541</v>
      </c>
      <c r="J112">
        <v>3052</v>
      </c>
      <c r="K112">
        <v>8421</v>
      </c>
      <c r="L112">
        <v>2291</v>
      </c>
      <c r="M112">
        <v>9580</v>
      </c>
      <c r="N112">
        <v>524.25</v>
      </c>
      <c r="O112">
        <v>757.3</v>
      </c>
      <c r="P112">
        <v>1.89</v>
      </c>
      <c r="Q112">
        <v>3.3574000000000002</v>
      </c>
      <c r="R112">
        <v>940.25</v>
      </c>
      <c r="S112">
        <v>83.42</v>
      </c>
      <c r="T112">
        <v>88.88</v>
      </c>
      <c r="U112">
        <v>2.6453000000000002</v>
      </c>
      <c r="AI112" s="26"/>
      <c r="AJ112" s="26"/>
      <c r="BN112"/>
      <c r="BO112"/>
    </row>
    <row r="113" spans="1:67" x14ac:dyDescent="0.25">
      <c r="A113">
        <v>691</v>
      </c>
      <c r="B113">
        <v>730.5</v>
      </c>
      <c r="C113">
        <v>7.4124999999999996</v>
      </c>
      <c r="D113">
        <v>491.25</v>
      </c>
      <c r="E113">
        <v>1183.5</v>
      </c>
      <c r="F113">
        <v>322.8</v>
      </c>
      <c r="G113">
        <v>69.31</v>
      </c>
      <c r="H113">
        <v>4490</v>
      </c>
      <c r="I113">
        <v>9597</v>
      </c>
      <c r="J113">
        <v>3096</v>
      </c>
      <c r="K113">
        <v>8505</v>
      </c>
      <c r="L113">
        <v>2329</v>
      </c>
      <c r="M113">
        <v>9706</v>
      </c>
      <c r="N113">
        <v>520</v>
      </c>
      <c r="O113">
        <v>755.4</v>
      </c>
      <c r="P113">
        <v>1.91</v>
      </c>
      <c r="Q113">
        <v>3.2942</v>
      </c>
      <c r="R113">
        <v>918.5</v>
      </c>
      <c r="S113">
        <v>81.39</v>
      </c>
      <c r="T113">
        <v>87.24</v>
      </c>
      <c r="U113">
        <v>2.5956000000000001</v>
      </c>
      <c r="AI113" s="26"/>
      <c r="AJ113" s="26"/>
      <c r="BN113"/>
      <c r="BO113"/>
    </row>
    <row r="114" spans="1:67" x14ac:dyDescent="0.25">
      <c r="A114">
        <v>707.5</v>
      </c>
      <c r="B114">
        <v>750</v>
      </c>
      <c r="C114">
        <v>7.58</v>
      </c>
      <c r="D114">
        <v>503</v>
      </c>
      <c r="E114">
        <v>1207.75</v>
      </c>
      <c r="F114">
        <v>328.6</v>
      </c>
      <c r="G114">
        <v>70.11</v>
      </c>
      <c r="H114">
        <v>4531</v>
      </c>
      <c r="I114">
        <v>9636</v>
      </c>
      <c r="J114">
        <v>3098</v>
      </c>
      <c r="K114">
        <v>8503</v>
      </c>
      <c r="L114">
        <v>2337</v>
      </c>
      <c r="M114">
        <v>9691</v>
      </c>
      <c r="N114">
        <v>523.5</v>
      </c>
      <c r="O114">
        <v>767.9</v>
      </c>
      <c r="P114">
        <v>1.9350000000000001</v>
      </c>
      <c r="Q114">
        <v>3.3201000000000001</v>
      </c>
      <c r="R114">
        <v>941</v>
      </c>
      <c r="S114">
        <v>81.67</v>
      </c>
      <c r="T114">
        <v>87.73</v>
      </c>
      <c r="U114">
        <v>2.6272000000000002</v>
      </c>
      <c r="AI114" s="26"/>
      <c r="AJ114" s="26"/>
      <c r="BN114"/>
      <c r="BO114"/>
    </row>
    <row r="115" spans="1:67" x14ac:dyDescent="0.25">
      <c r="A115">
        <v>710.25</v>
      </c>
      <c r="B115">
        <v>757.75</v>
      </c>
      <c r="C115">
        <v>7.6224999999999996</v>
      </c>
      <c r="D115">
        <v>502</v>
      </c>
      <c r="E115">
        <v>1205</v>
      </c>
      <c r="F115">
        <v>320.39999999999998</v>
      </c>
      <c r="G115">
        <v>70.930000000000007</v>
      </c>
      <c r="H115">
        <v>4556</v>
      </c>
      <c r="I115">
        <v>9691</v>
      </c>
      <c r="J115">
        <v>3081</v>
      </c>
      <c r="K115">
        <v>8498</v>
      </c>
      <c r="L115">
        <v>2342</v>
      </c>
      <c r="M115">
        <v>9730</v>
      </c>
      <c r="N115">
        <v>524.75</v>
      </c>
      <c r="O115">
        <v>771.8</v>
      </c>
      <c r="P115">
        <v>1.9225000000000001</v>
      </c>
      <c r="Q115">
        <v>3.4184999999999999</v>
      </c>
      <c r="R115">
        <v>947</v>
      </c>
      <c r="S115">
        <v>83.63</v>
      </c>
      <c r="T115">
        <v>89.69</v>
      </c>
      <c r="U115">
        <v>2.6709000000000001</v>
      </c>
      <c r="AI115" s="26"/>
      <c r="AJ115" s="26"/>
      <c r="BN115"/>
      <c r="BO115"/>
    </row>
    <row r="116" spans="1:67" x14ac:dyDescent="0.25">
      <c r="A116">
        <v>670</v>
      </c>
      <c r="B116">
        <v>712.75</v>
      </c>
      <c r="C116">
        <v>7.2750000000000004</v>
      </c>
      <c r="D116">
        <v>497.75</v>
      </c>
      <c r="E116">
        <v>1194.75</v>
      </c>
      <c r="F116">
        <v>318.39999999999998</v>
      </c>
      <c r="G116">
        <v>69.540000000000006</v>
      </c>
      <c r="H116">
        <v>4568</v>
      </c>
      <c r="I116">
        <v>9777</v>
      </c>
      <c r="J116">
        <v>3069</v>
      </c>
      <c r="K116">
        <v>8491</v>
      </c>
      <c r="L116">
        <v>2343</v>
      </c>
      <c r="M116">
        <v>9764</v>
      </c>
      <c r="N116">
        <v>518</v>
      </c>
      <c r="O116">
        <v>760</v>
      </c>
      <c r="P116">
        <v>1.8975</v>
      </c>
      <c r="Q116">
        <v>3.2726000000000002</v>
      </c>
      <c r="R116">
        <v>911</v>
      </c>
      <c r="S116">
        <v>81.63</v>
      </c>
      <c r="T116">
        <v>87.7</v>
      </c>
      <c r="U116">
        <v>2.6057000000000001</v>
      </c>
      <c r="AI116" s="26"/>
      <c r="AJ116" s="26"/>
      <c r="BN116"/>
      <c r="BO116"/>
    </row>
    <row r="117" spans="1:67" x14ac:dyDescent="0.25">
      <c r="A117">
        <v>655</v>
      </c>
      <c r="B117">
        <v>701</v>
      </c>
      <c r="C117">
        <v>7.1825000000000001</v>
      </c>
      <c r="D117">
        <v>493.5</v>
      </c>
      <c r="E117">
        <v>1189.5</v>
      </c>
      <c r="F117">
        <v>315.2</v>
      </c>
      <c r="G117">
        <v>69.569999999999993</v>
      </c>
      <c r="H117">
        <v>4539</v>
      </c>
      <c r="I117">
        <v>9755</v>
      </c>
      <c r="J117">
        <v>3033</v>
      </c>
      <c r="K117">
        <v>8471</v>
      </c>
      <c r="L117">
        <v>2320</v>
      </c>
      <c r="M117">
        <v>9770</v>
      </c>
      <c r="N117">
        <v>514.75</v>
      </c>
      <c r="O117">
        <v>765.4</v>
      </c>
      <c r="P117">
        <v>1.89</v>
      </c>
      <c r="Q117">
        <v>3.2185000000000001</v>
      </c>
      <c r="R117">
        <v>901</v>
      </c>
      <c r="S117">
        <v>79.37</v>
      </c>
      <c r="T117">
        <v>85.54</v>
      </c>
      <c r="U117">
        <v>2.5411999999999999</v>
      </c>
      <c r="AI117" s="26"/>
      <c r="AJ117" s="26"/>
      <c r="BN117"/>
      <c r="BO117"/>
    </row>
    <row r="118" spans="1:67" x14ac:dyDescent="0.25">
      <c r="A118">
        <v>648.25</v>
      </c>
      <c r="B118">
        <v>693.25</v>
      </c>
      <c r="C118">
        <v>7.1224999999999996</v>
      </c>
      <c r="D118">
        <v>489.5</v>
      </c>
      <c r="E118">
        <v>1173.5</v>
      </c>
      <c r="F118">
        <v>313.10000000000002</v>
      </c>
      <c r="G118">
        <v>69.23</v>
      </c>
      <c r="H118">
        <v>4564</v>
      </c>
      <c r="I118">
        <v>9826</v>
      </c>
      <c r="J118">
        <v>3038</v>
      </c>
      <c r="K118">
        <v>8568</v>
      </c>
      <c r="L118">
        <v>2333</v>
      </c>
      <c r="M118">
        <v>9858</v>
      </c>
      <c r="N118">
        <v>514</v>
      </c>
      <c r="O118">
        <v>751.1</v>
      </c>
      <c r="P118">
        <v>1.885</v>
      </c>
      <c r="Q118">
        <v>3.1604999999999999</v>
      </c>
      <c r="R118">
        <v>879.25</v>
      </c>
      <c r="S118">
        <v>77.55</v>
      </c>
      <c r="T118">
        <v>83.61</v>
      </c>
      <c r="U118">
        <v>2.4906999999999999</v>
      </c>
      <c r="AI118" s="26"/>
      <c r="AJ118" s="26"/>
      <c r="BN118"/>
      <c r="BO118"/>
    </row>
    <row r="119" spans="1:67" x14ac:dyDescent="0.25">
      <c r="A119">
        <v>654</v>
      </c>
      <c r="B119">
        <v>712.75</v>
      </c>
      <c r="C119">
        <v>7.2675000000000001</v>
      </c>
      <c r="D119">
        <v>490</v>
      </c>
      <c r="E119">
        <v>1175.5</v>
      </c>
      <c r="F119">
        <v>313.39999999999998</v>
      </c>
      <c r="G119">
        <v>69.94</v>
      </c>
      <c r="H119">
        <v>4602</v>
      </c>
      <c r="I119">
        <v>9948</v>
      </c>
      <c r="J119">
        <v>3053</v>
      </c>
      <c r="K119">
        <v>8648</v>
      </c>
      <c r="L119">
        <v>2349</v>
      </c>
      <c r="M119">
        <v>9935</v>
      </c>
      <c r="N119">
        <v>518.75</v>
      </c>
      <c r="O119">
        <v>752.8</v>
      </c>
      <c r="P119">
        <v>1.915</v>
      </c>
      <c r="Q119">
        <v>3.1726000000000001</v>
      </c>
      <c r="R119">
        <v>891.5</v>
      </c>
      <c r="S119">
        <v>77.069999999999993</v>
      </c>
      <c r="T119">
        <v>83.28</v>
      </c>
      <c r="U119">
        <v>2.4729000000000001</v>
      </c>
      <c r="AI119" s="26"/>
      <c r="AJ119" s="26"/>
      <c r="BN119"/>
      <c r="BO119"/>
    </row>
    <row r="120" spans="1:67" x14ac:dyDescent="0.25">
      <c r="A120">
        <v>665</v>
      </c>
      <c r="B120">
        <v>715.75</v>
      </c>
      <c r="C120">
        <v>7.3</v>
      </c>
      <c r="D120">
        <v>500.5</v>
      </c>
      <c r="E120">
        <v>1189.5</v>
      </c>
      <c r="F120">
        <v>314.10000000000002</v>
      </c>
      <c r="G120">
        <v>71.59</v>
      </c>
      <c r="H120">
        <v>4713</v>
      </c>
      <c r="N120">
        <v>526.75</v>
      </c>
      <c r="O120">
        <v>768.8</v>
      </c>
      <c r="P120">
        <v>1.9624999999999999</v>
      </c>
      <c r="Q120">
        <v>3.3210999999999999</v>
      </c>
      <c r="R120">
        <v>933.5</v>
      </c>
      <c r="S120">
        <v>81.790000000000006</v>
      </c>
      <c r="T120">
        <v>88.39</v>
      </c>
      <c r="U120">
        <v>2.5912000000000002</v>
      </c>
      <c r="AI120" s="26"/>
      <c r="AJ120" s="26"/>
      <c r="BN120"/>
      <c r="BO120"/>
    </row>
    <row r="121" spans="1:67" x14ac:dyDescent="0.25">
      <c r="A121">
        <v>677.5</v>
      </c>
      <c r="B121">
        <v>721.25</v>
      </c>
      <c r="C121">
        <v>7.335</v>
      </c>
      <c r="D121">
        <v>504.5</v>
      </c>
      <c r="E121">
        <v>1196.75</v>
      </c>
      <c r="F121">
        <v>315.10000000000002</v>
      </c>
      <c r="G121">
        <v>71.16</v>
      </c>
      <c r="H121">
        <v>4650</v>
      </c>
      <c r="N121">
        <v>528.5</v>
      </c>
      <c r="O121">
        <v>769.9</v>
      </c>
      <c r="P121">
        <v>1.9675</v>
      </c>
      <c r="Q121">
        <v>3.3342999999999998</v>
      </c>
      <c r="R121">
        <v>933.25</v>
      </c>
      <c r="S121">
        <v>83.72</v>
      </c>
      <c r="T121">
        <v>89.69</v>
      </c>
      <c r="U121">
        <v>2.621</v>
      </c>
      <c r="AI121" s="26"/>
      <c r="AJ121" s="26"/>
      <c r="BN121"/>
      <c r="BO121"/>
    </row>
    <row r="122" spans="1:67" x14ac:dyDescent="0.25">
      <c r="A122">
        <v>673.25</v>
      </c>
      <c r="B122">
        <v>721.25</v>
      </c>
      <c r="C122">
        <v>7.375</v>
      </c>
      <c r="D122">
        <v>498.75</v>
      </c>
      <c r="E122">
        <v>1182.75</v>
      </c>
      <c r="F122">
        <v>312.60000000000002</v>
      </c>
      <c r="G122">
        <v>70.03</v>
      </c>
      <c r="O122">
        <v>764.7</v>
      </c>
      <c r="P122">
        <v>1.95</v>
      </c>
      <c r="Q122">
        <v>3.2103000000000002</v>
      </c>
      <c r="R122">
        <v>901</v>
      </c>
      <c r="S122">
        <v>79.53</v>
      </c>
      <c r="T122">
        <v>85.46</v>
      </c>
      <c r="U122">
        <v>2.5007000000000001</v>
      </c>
      <c r="AI122" s="26"/>
      <c r="AJ122" s="26"/>
      <c r="BN122"/>
      <c r="BO122"/>
    </row>
    <row r="123" spans="1:67" x14ac:dyDescent="0.25">
      <c r="A123">
        <v>673</v>
      </c>
      <c r="B123">
        <v>720</v>
      </c>
      <c r="C123">
        <v>7.3724999999999996</v>
      </c>
      <c r="D123">
        <v>494.25</v>
      </c>
      <c r="E123">
        <v>1173</v>
      </c>
      <c r="F123">
        <v>311.5</v>
      </c>
      <c r="G123">
        <v>69.44</v>
      </c>
      <c r="H123">
        <v>4618</v>
      </c>
      <c r="I123">
        <v>9842</v>
      </c>
      <c r="J123">
        <v>3065</v>
      </c>
      <c r="K123">
        <v>8565</v>
      </c>
      <c r="L123">
        <v>2355</v>
      </c>
      <c r="M123">
        <v>9898</v>
      </c>
      <c r="N123">
        <v>522.25</v>
      </c>
      <c r="O123">
        <v>767.1</v>
      </c>
      <c r="P123">
        <v>1.9075</v>
      </c>
      <c r="Q123">
        <v>3.2597</v>
      </c>
      <c r="R123">
        <v>909.5</v>
      </c>
      <c r="S123">
        <v>80.209999999999994</v>
      </c>
      <c r="T123">
        <v>85.81</v>
      </c>
      <c r="U123">
        <v>2.5097</v>
      </c>
      <c r="AI123" s="26"/>
      <c r="AJ123" s="26"/>
      <c r="BN123"/>
      <c r="BO123"/>
    </row>
    <row r="124" spans="1:67" x14ac:dyDescent="0.25">
      <c r="A124">
        <v>686.5</v>
      </c>
      <c r="B124">
        <v>728</v>
      </c>
      <c r="C124">
        <v>7.4474999999999998</v>
      </c>
      <c r="D124">
        <v>497.75</v>
      </c>
      <c r="E124">
        <v>1171.25</v>
      </c>
      <c r="F124">
        <v>314.7</v>
      </c>
      <c r="G124">
        <v>68.64</v>
      </c>
      <c r="H124">
        <v>4636</v>
      </c>
      <c r="I124">
        <v>9737</v>
      </c>
      <c r="J124">
        <v>3062</v>
      </c>
      <c r="K124">
        <v>8510</v>
      </c>
      <c r="L124">
        <v>2349</v>
      </c>
      <c r="M124">
        <v>9802</v>
      </c>
      <c r="N124">
        <v>523.25</v>
      </c>
      <c r="O124">
        <v>765</v>
      </c>
      <c r="P124">
        <v>1.9275</v>
      </c>
      <c r="Q124">
        <v>3.2536</v>
      </c>
      <c r="R124">
        <v>919.5</v>
      </c>
      <c r="S124">
        <v>79.489999999999995</v>
      </c>
      <c r="T124">
        <v>85.12</v>
      </c>
      <c r="U124">
        <v>2.4962</v>
      </c>
      <c r="AI124" s="26"/>
      <c r="AJ124" s="26"/>
      <c r="BN124"/>
      <c r="BO124"/>
    </row>
    <row r="125" spans="1:67" x14ac:dyDescent="0.25">
      <c r="A125">
        <v>689</v>
      </c>
      <c r="B125">
        <v>726.25</v>
      </c>
      <c r="C125">
        <v>7.42</v>
      </c>
      <c r="D125">
        <v>495.75</v>
      </c>
      <c r="E125">
        <v>1167</v>
      </c>
      <c r="F125">
        <v>315.2</v>
      </c>
      <c r="G125">
        <v>66.930000000000007</v>
      </c>
      <c r="H125">
        <v>4576</v>
      </c>
      <c r="I125">
        <v>9778</v>
      </c>
      <c r="J125">
        <v>3041</v>
      </c>
      <c r="K125">
        <v>8489</v>
      </c>
      <c r="L125">
        <v>2336</v>
      </c>
      <c r="M125">
        <v>9713</v>
      </c>
      <c r="N125">
        <v>514</v>
      </c>
      <c r="O125">
        <v>750.4</v>
      </c>
      <c r="P125">
        <v>1.875</v>
      </c>
      <c r="Q125">
        <v>3.1549999999999998</v>
      </c>
      <c r="R125">
        <v>889</v>
      </c>
      <c r="S125">
        <v>78.680000000000007</v>
      </c>
      <c r="T125">
        <v>84.64</v>
      </c>
      <c r="U125">
        <v>2.4622000000000002</v>
      </c>
      <c r="AI125" s="26"/>
      <c r="AJ125" s="26"/>
      <c r="BN125"/>
      <c r="BO125"/>
    </row>
    <row r="126" spans="1:67" x14ac:dyDescent="0.25">
      <c r="A126">
        <v>661.25</v>
      </c>
      <c r="B126">
        <v>701</v>
      </c>
      <c r="C126">
        <v>7.2374999999999998</v>
      </c>
      <c r="D126">
        <v>489.5</v>
      </c>
      <c r="E126">
        <v>1165.75</v>
      </c>
      <c r="F126">
        <v>313.89999999999998</v>
      </c>
      <c r="G126">
        <v>66.290000000000006</v>
      </c>
      <c r="H126">
        <v>4575</v>
      </c>
      <c r="I126">
        <v>9815</v>
      </c>
      <c r="J126">
        <v>3024</v>
      </c>
      <c r="K126">
        <v>8473</v>
      </c>
      <c r="L126">
        <v>2323</v>
      </c>
      <c r="M126">
        <v>9703</v>
      </c>
      <c r="N126">
        <v>510.75</v>
      </c>
      <c r="O126">
        <v>744</v>
      </c>
      <c r="P126">
        <v>1.895</v>
      </c>
      <c r="Q126">
        <v>3.1515</v>
      </c>
      <c r="R126">
        <v>895.5</v>
      </c>
      <c r="S126">
        <v>78.260000000000005</v>
      </c>
      <c r="T126">
        <v>84.54</v>
      </c>
      <c r="U126">
        <v>2.4462000000000002</v>
      </c>
      <c r="AI126" s="26"/>
      <c r="AJ126" s="26"/>
      <c r="BN126"/>
      <c r="BO126"/>
    </row>
    <row r="127" spans="1:67" x14ac:dyDescent="0.25">
      <c r="A127">
        <v>649.5</v>
      </c>
      <c r="B127">
        <v>695</v>
      </c>
      <c r="C127">
        <v>7.2225000000000001</v>
      </c>
      <c r="D127">
        <v>484.25</v>
      </c>
      <c r="E127">
        <v>1155.75</v>
      </c>
      <c r="F127">
        <v>309.3</v>
      </c>
      <c r="G127">
        <v>65.930000000000007</v>
      </c>
      <c r="H127">
        <v>4608</v>
      </c>
      <c r="I127">
        <v>9766</v>
      </c>
      <c r="J127">
        <v>3029</v>
      </c>
      <c r="K127">
        <v>8520</v>
      </c>
      <c r="L127">
        <v>2328</v>
      </c>
      <c r="M127">
        <v>9687</v>
      </c>
      <c r="N127">
        <v>505.25</v>
      </c>
      <c r="O127">
        <v>744</v>
      </c>
      <c r="P127">
        <v>1.865</v>
      </c>
      <c r="Q127">
        <v>3.0811999999999999</v>
      </c>
      <c r="R127">
        <v>879.75</v>
      </c>
      <c r="S127">
        <v>77.48</v>
      </c>
      <c r="T127">
        <v>83.35</v>
      </c>
      <c r="U127">
        <v>2.415</v>
      </c>
      <c r="AI127" s="26"/>
      <c r="AJ127" s="26"/>
      <c r="BN127"/>
      <c r="BO127"/>
    </row>
    <row r="128" spans="1:67" x14ac:dyDescent="0.25">
      <c r="A128">
        <v>651.75</v>
      </c>
      <c r="B128">
        <v>704.5</v>
      </c>
      <c r="C128">
        <v>7.1875</v>
      </c>
      <c r="D128">
        <v>483.5</v>
      </c>
      <c r="E128">
        <v>1155</v>
      </c>
      <c r="F128">
        <v>309.3</v>
      </c>
      <c r="G128">
        <v>65.66</v>
      </c>
      <c r="H128">
        <v>4569</v>
      </c>
      <c r="I128">
        <v>9743</v>
      </c>
      <c r="J128">
        <v>3045</v>
      </c>
      <c r="K128">
        <v>8549</v>
      </c>
      <c r="L128">
        <v>2345</v>
      </c>
      <c r="M128">
        <v>9644</v>
      </c>
      <c r="N128">
        <v>510</v>
      </c>
      <c r="O128">
        <v>742.4</v>
      </c>
      <c r="P128">
        <v>1.845</v>
      </c>
      <c r="Q128">
        <v>3.1017999999999999</v>
      </c>
      <c r="R128">
        <v>866.75</v>
      </c>
      <c r="S128">
        <v>77.849999999999994</v>
      </c>
      <c r="T128">
        <v>83.61</v>
      </c>
      <c r="U128">
        <v>2.4257</v>
      </c>
      <c r="AI128" s="26"/>
      <c r="AJ128" s="26"/>
      <c r="BN128"/>
      <c r="BO128"/>
    </row>
    <row r="129" spans="1:67" x14ac:dyDescent="0.25">
      <c r="A129">
        <v>638.75</v>
      </c>
      <c r="B129">
        <v>678.25</v>
      </c>
      <c r="C129">
        <v>7.0949999999999998</v>
      </c>
      <c r="D129">
        <v>482.25</v>
      </c>
      <c r="E129">
        <v>1156</v>
      </c>
      <c r="F129">
        <v>310</v>
      </c>
      <c r="G129">
        <v>65.33</v>
      </c>
      <c r="H129">
        <v>4604</v>
      </c>
      <c r="I129">
        <v>9703</v>
      </c>
      <c r="J129">
        <v>3053</v>
      </c>
      <c r="K129">
        <v>8546</v>
      </c>
      <c r="L129">
        <v>2348</v>
      </c>
      <c r="M129">
        <v>9623</v>
      </c>
      <c r="N129">
        <v>504.5</v>
      </c>
      <c r="O129">
        <v>736.9</v>
      </c>
      <c r="P129">
        <v>1.8425</v>
      </c>
      <c r="Q129">
        <v>3.0636999999999999</v>
      </c>
      <c r="R129">
        <v>860</v>
      </c>
      <c r="S129">
        <v>76.459999999999994</v>
      </c>
      <c r="T129">
        <v>81.98</v>
      </c>
      <c r="U129">
        <v>2.3759999999999999</v>
      </c>
      <c r="AI129" s="26"/>
      <c r="AJ129" s="26"/>
      <c r="BN129"/>
      <c r="BO129"/>
    </row>
    <row r="130" spans="1:67" x14ac:dyDescent="0.25">
      <c r="A130">
        <v>644.5</v>
      </c>
      <c r="B130">
        <v>683.5</v>
      </c>
      <c r="C130">
        <v>7.1050000000000004</v>
      </c>
      <c r="D130">
        <v>481.75</v>
      </c>
      <c r="E130">
        <v>1166.5</v>
      </c>
      <c r="F130">
        <v>313</v>
      </c>
      <c r="G130">
        <v>65.61</v>
      </c>
      <c r="H130">
        <v>4520</v>
      </c>
      <c r="I130">
        <v>9545</v>
      </c>
      <c r="J130">
        <v>3014</v>
      </c>
      <c r="K130">
        <v>8439</v>
      </c>
      <c r="L130">
        <v>2317</v>
      </c>
      <c r="M130">
        <v>9535</v>
      </c>
      <c r="N130">
        <v>503.75</v>
      </c>
      <c r="O130">
        <v>737</v>
      </c>
      <c r="P130">
        <v>1.83</v>
      </c>
      <c r="Q130">
        <v>2.9893000000000001</v>
      </c>
      <c r="R130">
        <v>845.75</v>
      </c>
      <c r="S130">
        <v>75.38</v>
      </c>
      <c r="T130">
        <v>80.75</v>
      </c>
      <c r="U130">
        <v>2.3330000000000002</v>
      </c>
      <c r="AI130" s="26"/>
      <c r="AJ130" s="26"/>
      <c r="BN130"/>
      <c r="BO130"/>
    </row>
    <row r="131" spans="1:67" x14ac:dyDescent="0.25">
      <c r="A131">
        <v>637.5</v>
      </c>
      <c r="B131">
        <v>674.25</v>
      </c>
      <c r="C131">
        <v>7.01</v>
      </c>
      <c r="D131">
        <v>479.5</v>
      </c>
      <c r="E131">
        <v>1157.75</v>
      </c>
      <c r="F131">
        <v>315</v>
      </c>
      <c r="G131">
        <v>63.83</v>
      </c>
      <c r="H131">
        <v>4442</v>
      </c>
      <c r="I131">
        <v>9332</v>
      </c>
      <c r="J131">
        <v>3003</v>
      </c>
      <c r="K131">
        <v>8362</v>
      </c>
      <c r="L131">
        <v>2301</v>
      </c>
      <c r="M131">
        <v>9417</v>
      </c>
      <c r="N131">
        <v>496</v>
      </c>
      <c r="O131">
        <v>730.8</v>
      </c>
      <c r="P131">
        <v>1.8325</v>
      </c>
      <c r="Q131">
        <v>2.9348000000000001</v>
      </c>
      <c r="R131">
        <v>830.75</v>
      </c>
      <c r="S131">
        <v>74.58</v>
      </c>
      <c r="T131">
        <v>79.77</v>
      </c>
      <c r="U131">
        <v>2.29</v>
      </c>
      <c r="AI131" s="26"/>
      <c r="AJ131" s="26"/>
      <c r="BN131"/>
      <c r="BO131"/>
    </row>
    <row r="132" spans="1:67" x14ac:dyDescent="0.25">
      <c r="A132">
        <v>630.25</v>
      </c>
      <c r="B132">
        <v>676.25</v>
      </c>
      <c r="C132">
        <v>7.0049999999999999</v>
      </c>
      <c r="D132">
        <v>477</v>
      </c>
      <c r="E132">
        <v>1156.5</v>
      </c>
      <c r="F132">
        <v>317.39999999999998</v>
      </c>
      <c r="G132">
        <v>62.61</v>
      </c>
      <c r="H132">
        <v>4401</v>
      </c>
      <c r="I132">
        <v>9326</v>
      </c>
      <c r="J132">
        <v>3013</v>
      </c>
      <c r="K132">
        <v>8389</v>
      </c>
      <c r="L132">
        <v>2309</v>
      </c>
      <c r="M132">
        <v>9420</v>
      </c>
      <c r="N132">
        <v>491.75</v>
      </c>
      <c r="O132">
        <v>718.6</v>
      </c>
      <c r="P132">
        <v>1.8225</v>
      </c>
      <c r="Q132">
        <v>2.8546999999999998</v>
      </c>
      <c r="R132">
        <v>800.5</v>
      </c>
      <c r="S132">
        <v>72.650000000000006</v>
      </c>
      <c r="T132">
        <v>77.59</v>
      </c>
      <c r="U132">
        <v>2.2387000000000001</v>
      </c>
      <c r="AI132" s="26"/>
      <c r="AJ132" s="26"/>
      <c r="BN132"/>
      <c r="BO132"/>
    </row>
    <row r="133" spans="1:67" x14ac:dyDescent="0.25">
      <c r="A133">
        <v>636</v>
      </c>
      <c r="B133">
        <v>680.5</v>
      </c>
      <c r="C133">
        <v>6.9749999999999996</v>
      </c>
      <c r="D133">
        <v>476.75</v>
      </c>
      <c r="E133">
        <v>1156</v>
      </c>
      <c r="F133">
        <v>317.2</v>
      </c>
      <c r="G133">
        <v>63.59</v>
      </c>
      <c r="H133">
        <v>4431</v>
      </c>
      <c r="I133">
        <v>9261</v>
      </c>
      <c r="J133">
        <v>3027</v>
      </c>
      <c r="K133">
        <v>8358</v>
      </c>
      <c r="L133">
        <v>2317</v>
      </c>
      <c r="M133">
        <v>9378</v>
      </c>
      <c r="N133">
        <v>504.25</v>
      </c>
      <c r="O133">
        <v>729.8</v>
      </c>
      <c r="P133">
        <v>1.8174999999999999</v>
      </c>
      <c r="Q133">
        <v>3.0436999999999999</v>
      </c>
      <c r="R133">
        <v>856.5</v>
      </c>
      <c r="S133">
        <v>76.59</v>
      </c>
      <c r="T133">
        <v>81.72</v>
      </c>
      <c r="U133">
        <v>2.3513999999999999</v>
      </c>
      <c r="AI133" s="26"/>
      <c r="AJ133" s="26"/>
      <c r="BN133"/>
      <c r="BO133"/>
    </row>
    <row r="134" spans="1:67" x14ac:dyDescent="0.25">
      <c r="A134">
        <v>632</v>
      </c>
      <c r="B134">
        <v>669.5</v>
      </c>
      <c r="C134">
        <v>6.8525</v>
      </c>
      <c r="D134">
        <v>478</v>
      </c>
      <c r="E134">
        <v>1154.5</v>
      </c>
      <c r="F134">
        <v>321</v>
      </c>
      <c r="G134">
        <v>62.54</v>
      </c>
      <c r="H134">
        <v>4429</v>
      </c>
      <c r="I134">
        <v>9249</v>
      </c>
      <c r="J134">
        <v>3017</v>
      </c>
      <c r="K134">
        <v>8336</v>
      </c>
      <c r="L134">
        <v>2315</v>
      </c>
      <c r="M134">
        <v>9367</v>
      </c>
      <c r="N134">
        <v>498.25</v>
      </c>
      <c r="O134">
        <v>726.6</v>
      </c>
      <c r="P134">
        <v>1.82</v>
      </c>
      <c r="Q134">
        <v>3.0085000000000002</v>
      </c>
      <c r="R134">
        <v>844.75</v>
      </c>
      <c r="S134">
        <v>76.400000000000006</v>
      </c>
      <c r="T134">
        <v>81.28</v>
      </c>
      <c r="U134">
        <v>2.3342999999999998</v>
      </c>
      <c r="AI134" s="26"/>
      <c r="AJ134" s="26"/>
      <c r="BN134"/>
      <c r="BO134"/>
    </row>
    <row r="135" spans="1:67" x14ac:dyDescent="0.25">
      <c r="A135">
        <v>630.5</v>
      </c>
      <c r="B135">
        <v>666.75</v>
      </c>
      <c r="C135">
        <v>6.83</v>
      </c>
      <c r="D135">
        <v>470.5</v>
      </c>
      <c r="E135">
        <v>1144</v>
      </c>
      <c r="F135">
        <v>318.3</v>
      </c>
      <c r="G135">
        <v>62.11</v>
      </c>
      <c r="H135">
        <v>4433</v>
      </c>
      <c r="I135">
        <v>9315</v>
      </c>
      <c r="J135">
        <v>3026</v>
      </c>
      <c r="K135">
        <v>8386</v>
      </c>
      <c r="L135">
        <v>2322</v>
      </c>
      <c r="M135">
        <v>9381</v>
      </c>
      <c r="N135">
        <v>496</v>
      </c>
      <c r="O135">
        <v>724.5</v>
      </c>
      <c r="P135">
        <v>1.8274999999999999</v>
      </c>
      <c r="Q135">
        <v>2.9964</v>
      </c>
      <c r="R135">
        <v>845.5</v>
      </c>
      <c r="S135">
        <v>75.739999999999995</v>
      </c>
      <c r="T135">
        <v>80.459999999999994</v>
      </c>
      <c r="U135">
        <v>2.3144999999999998</v>
      </c>
      <c r="AI135" s="26"/>
      <c r="AJ135" s="26"/>
      <c r="BN135"/>
      <c r="BO135"/>
    </row>
    <row r="136" spans="1:67" x14ac:dyDescent="0.25">
      <c r="A136">
        <v>621</v>
      </c>
      <c r="B136">
        <v>647.25</v>
      </c>
      <c r="C136">
        <v>6.71</v>
      </c>
      <c r="D136">
        <v>471</v>
      </c>
      <c r="E136">
        <v>1149.75</v>
      </c>
      <c r="F136">
        <v>319.5</v>
      </c>
      <c r="G136">
        <v>62.52</v>
      </c>
      <c r="H136">
        <v>4503</v>
      </c>
      <c r="I136">
        <v>9408</v>
      </c>
      <c r="J136">
        <v>3031</v>
      </c>
      <c r="K136">
        <v>8425</v>
      </c>
      <c r="L136">
        <v>2326</v>
      </c>
      <c r="M136">
        <v>9420</v>
      </c>
      <c r="N136">
        <v>500</v>
      </c>
      <c r="O136">
        <v>725.4</v>
      </c>
      <c r="P136">
        <v>1.8325</v>
      </c>
      <c r="Q136">
        <v>3.0592999999999999</v>
      </c>
      <c r="R136">
        <v>878.25</v>
      </c>
      <c r="S136">
        <v>77.34</v>
      </c>
      <c r="T136">
        <v>82.08</v>
      </c>
      <c r="U136">
        <v>2.3515000000000001</v>
      </c>
      <c r="AI136" s="26"/>
      <c r="AJ136" s="26"/>
      <c r="BN136"/>
      <c r="BO136"/>
    </row>
    <row r="137" spans="1:67" x14ac:dyDescent="0.25">
      <c r="A137">
        <v>611.5</v>
      </c>
      <c r="B137">
        <v>637.75</v>
      </c>
      <c r="C137">
        <v>6.6</v>
      </c>
      <c r="D137">
        <v>472.25</v>
      </c>
      <c r="E137">
        <v>1157.75</v>
      </c>
      <c r="F137">
        <v>320.7</v>
      </c>
      <c r="G137">
        <v>63.25</v>
      </c>
      <c r="H137">
        <v>4465</v>
      </c>
      <c r="I137">
        <v>9478</v>
      </c>
      <c r="J137">
        <v>3031</v>
      </c>
      <c r="K137">
        <v>8449</v>
      </c>
      <c r="L137">
        <v>2329</v>
      </c>
      <c r="M137">
        <v>9456</v>
      </c>
      <c r="N137">
        <v>497.25</v>
      </c>
      <c r="O137">
        <v>726</v>
      </c>
      <c r="P137">
        <v>1.83</v>
      </c>
      <c r="Q137">
        <v>3.0095000000000001</v>
      </c>
      <c r="R137">
        <v>852.75</v>
      </c>
      <c r="S137">
        <v>75.25</v>
      </c>
      <c r="T137">
        <v>80.099999999999994</v>
      </c>
      <c r="U137">
        <v>2.2951000000000001</v>
      </c>
      <c r="AI137" s="26"/>
      <c r="AJ137" s="26"/>
      <c r="BN137"/>
      <c r="BO137"/>
    </row>
    <row r="138" spans="1:67" x14ac:dyDescent="0.25">
      <c r="A138">
        <v>615.75</v>
      </c>
      <c r="B138">
        <v>639.5</v>
      </c>
      <c r="C138">
        <v>6.6574999999999998</v>
      </c>
      <c r="D138">
        <v>474.25</v>
      </c>
      <c r="E138">
        <v>1152.5</v>
      </c>
      <c r="F138">
        <v>312.10000000000002</v>
      </c>
      <c r="G138">
        <v>63.78</v>
      </c>
      <c r="H138">
        <v>4559</v>
      </c>
      <c r="I138">
        <v>9396</v>
      </c>
      <c r="J138">
        <v>3023</v>
      </c>
      <c r="K138">
        <v>8404</v>
      </c>
      <c r="L138">
        <v>2318</v>
      </c>
      <c r="M138">
        <v>9403</v>
      </c>
      <c r="N138">
        <v>495.25</v>
      </c>
      <c r="O138">
        <v>727.1</v>
      </c>
      <c r="P138">
        <v>1.825</v>
      </c>
      <c r="Q138">
        <v>3.0034000000000001</v>
      </c>
      <c r="R138">
        <v>859.25</v>
      </c>
      <c r="S138">
        <v>74.39</v>
      </c>
      <c r="T138">
        <v>79.239999999999995</v>
      </c>
      <c r="U138">
        <v>2.2610999999999999</v>
      </c>
      <c r="AI138" s="26"/>
      <c r="AJ138" s="26"/>
      <c r="BN138"/>
      <c r="BO138"/>
    </row>
    <row r="139" spans="1:67" x14ac:dyDescent="0.25">
      <c r="A139">
        <v>623</v>
      </c>
      <c r="B139">
        <v>646.25</v>
      </c>
      <c r="C139">
        <v>6.7074999999999996</v>
      </c>
      <c r="D139">
        <v>476</v>
      </c>
      <c r="E139">
        <v>1152</v>
      </c>
      <c r="F139">
        <v>310.5</v>
      </c>
      <c r="G139">
        <v>63.4</v>
      </c>
      <c r="H139">
        <v>4483</v>
      </c>
      <c r="I139">
        <v>9414</v>
      </c>
      <c r="J139">
        <v>3014</v>
      </c>
      <c r="K139">
        <v>8476</v>
      </c>
      <c r="L139">
        <v>2306</v>
      </c>
      <c r="M139">
        <v>9501</v>
      </c>
      <c r="N139">
        <v>495.75</v>
      </c>
      <c r="O139">
        <v>721.5</v>
      </c>
      <c r="P139">
        <v>1.8274999999999999</v>
      </c>
      <c r="Q139">
        <v>2.9645000000000001</v>
      </c>
      <c r="R139">
        <v>832.75</v>
      </c>
      <c r="S139">
        <v>74.22</v>
      </c>
      <c r="T139">
        <v>79.25</v>
      </c>
      <c r="U139">
        <v>2.2610000000000001</v>
      </c>
      <c r="AI139" s="26"/>
      <c r="AJ139" s="26"/>
      <c r="BN139"/>
      <c r="BO139"/>
    </row>
    <row r="140" spans="1:67" x14ac:dyDescent="0.25">
      <c r="A140">
        <v>638.75</v>
      </c>
      <c r="B140">
        <v>656.5</v>
      </c>
      <c r="C140">
        <v>6.8574999999999999</v>
      </c>
      <c r="D140">
        <v>478</v>
      </c>
      <c r="E140">
        <v>1151</v>
      </c>
      <c r="F140">
        <v>307.10000000000002</v>
      </c>
      <c r="G140">
        <v>65.37</v>
      </c>
      <c r="H140">
        <v>4638</v>
      </c>
      <c r="I140">
        <v>9770</v>
      </c>
      <c r="J140">
        <v>3006</v>
      </c>
      <c r="K140">
        <v>8676</v>
      </c>
      <c r="L140">
        <v>2301</v>
      </c>
      <c r="M140">
        <v>9671</v>
      </c>
      <c r="N140">
        <v>504</v>
      </c>
      <c r="O140">
        <v>734.2</v>
      </c>
      <c r="P140">
        <v>1.85</v>
      </c>
      <c r="Q140">
        <v>3.0493000000000001</v>
      </c>
      <c r="R140">
        <v>883.5</v>
      </c>
      <c r="S140">
        <v>75.180000000000007</v>
      </c>
      <c r="T140">
        <v>80.61</v>
      </c>
      <c r="U140">
        <v>2.2959999999999998</v>
      </c>
      <c r="AI140" s="26"/>
      <c r="AJ140" s="26"/>
      <c r="BN140"/>
      <c r="BO140"/>
    </row>
    <row r="141" spans="1:67" x14ac:dyDescent="0.25">
      <c r="A141">
        <v>637.5</v>
      </c>
      <c r="B141">
        <v>657.25</v>
      </c>
      <c r="C141">
        <v>6.8849999999999998</v>
      </c>
      <c r="D141">
        <v>483</v>
      </c>
      <c r="E141">
        <v>1157</v>
      </c>
      <c r="F141">
        <v>309</v>
      </c>
      <c r="G141">
        <v>65.61</v>
      </c>
      <c r="H141">
        <v>4674</v>
      </c>
      <c r="O141">
        <v>738.9</v>
      </c>
      <c r="P141">
        <v>1.86</v>
      </c>
      <c r="Q141">
        <v>2.9950000000000001</v>
      </c>
      <c r="R141">
        <v>858.75</v>
      </c>
      <c r="S141">
        <v>73.86</v>
      </c>
      <c r="T141">
        <v>79.3</v>
      </c>
      <c r="U141">
        <v>2.2654000000000001</v>
      </c>
      <c r="AI141" s="26"/>
      <c r="AJ141" s="26"/>
      <c r="BN141"/>
      <c r="BO141"/>
    </row>
    <row r="142" spans="1:67" x14ac:dyDescent="0.25">
      <c r="A142">
        <v>639</v>
      </c>
      <c r="B142">
        <v>661.75</v>
      </c>
      <c r="D142">
        <v>481.25</v>
      </c>
      <c r="E142">
        <v>1154</v>
      </c>
      <c r="F142">
        <v>309.10000000000002</v>
      </c>
      <c r="G142">
        <v>65.150000000000006</v>
      </c>
      <c r="H142">
        <v>4687</v>
      </c>
      <c r="I142">
        <v>9744</v>
      </c>
      <c r="J142">
        <v>3016</v>
      </c>
      <c r="K142">
        <v>8624</v>
      </c>
      <c r="L142">
        <v>2310</v>
      </c>
      <c r="M142">
        <v>9679</v>
      </c>
      <c r="P142">
        <v>1.8425</v>
      </c>
      <c r="Q142">
        <v>2.9146999999999998</v>
      </c>
      <c r="S142">
        <v>72.11</v>
      </c>
      <c r="U142">
        <v>2.2258</v>
      </c>
      <c r="AI142" s="26"/>
      <c r="AJ142" s="26"/>
      <c r="BN142"/>
      <c r="BO142"/>
    </row>
    <row r="143" spans="1:67" x14ac:dyDescent="0.25">
      <c r="A143">
        <v>639</v>
      </c>
      <c r="B143">
        <v>661.75</v>
      </c>
      <c r="C143">
        <v>6.9074999999999998</v>
      </c>
      <c r="D143">
        <v>481.25</v>
      </c>
      <c r="E143">
        <v>1154</v>
      </c>
      <c r="F143">
        <v>309.10000000000002</v>
      </c>
      <c r="G143">
        <v>65.150000000000006</v>
      </c>
      <c r="H143">
        <v>4642</v>
      </c>
      <c r="I143">
        <v>9634</v>
      </c>
      <c r="J143">
        <v>3013</v>
      </c>
      <c r="K143">
        <v>8578</v>
      </c>
      <c r="L143">
        <v>2323</v>
      </c>
      <c r="M143">
        <v>9669</v>
      </c>
      <c r="N143">
        <v>503.5</v>
      </c>
      <c r="O143">
        <v>739.8</v>
      </c>
      <c r="P143">
        <v>1.8425</v>
      </c>
      <c r="Q143">
        <v>2.9146999999999998</v>
      </c>
      <c r="R143">
        <v>827</v>
      </c>
      <c r="S143">
        <v>72.11</v>
      </c>
      <c r="T143">
        <v>77.790000000000006</v>
      </c>
      <c r="U143">
        <v>2.2258</v>
      </c>
      <c r="AI143" s="26"/>
      <c r="AJ143" s="26"/>
      <c r="BN143"/>
      <c r="BO143"/>
    </row>
    <row r="144" spans="1:67" x14ac:dyDescent="0.25">
      <c r="A144">
        <v>638.5</v>
      </c>
      <c r="B144">
        <v>659.25</v>
      </c>
      <c r="C144">
        <v>6.8674999999999997</v>
      </c>
      <c r="D144">
        <v>481.25</v>
      </c>
      <c r="E144">
        <v>1155.5</v>
      </c>
      <c r="F144">
        <v>313.3</v>
      </c>
      <c r="G144">
        <v>64.03</v>
      </c>
      <c r="H144">
        <v>4616</v>
      </c>
      <c r="I144">
        <v>9762</v>
      </c>
      <c r="J144">
        <v>3021</v>
      </c>
      <c r="K144">
        <v>8618</v>
      </c>
      <c r="L144">
        <v>2334</v>
      </c>
      <c r="M144">
        <v>9723</v>
      </c>
      <c r="N144">
        <v>499</v>
      </c>
      <c r="O144">
        <v>731.4</v>
      </c>
      <c r="P144">
        <v>1.83</v>
      </c>
      <c r="Q144">
        <v>2.8755000000000002</v>
      </c>
      <c r="R144">
        <v>815</v>
      </c>
      <c r="S144">
        <v>71.39</v>
      </c>
      <c r="T144">
        <v>77.010000000000005</v>
      </c>
      <c r="U144">
        <v>2.1974999999999998</v>
      </c>
      <c r="AI144" s="26"/>
      <c r="AJ144" s="26"/>
      <c r="BN144"/>
      <c r="BO144"/>
    </row>
    <row r="145" spans="1:67" x14ac:dyDescent="0.25">
      <c r="A145">
        <v>654.5</v>
      </c>
      <c r="B145">
        <v>678</v>
      </c>
      <c r="C145">
        <v>6.9924999999999997</v>
      </c>
      <c r="D145">
        <v>484.25</v>
      </c>
      <c r="E145">
        <v>1157.5</v>
      </c>
      <c r="F145">
        <v>311.5</v>
      </c>
      <c r="G145">
        <v>65.3</v>
      </c>
      <c r="H145">
        <v>4702</v>
      </c>
      <c r="I145">
        <v>9676</v>
      </c>
      <c r="J145">
        <v>3028</v>
      </c>
      <c r="K145">
        <v>8606</v>
      </c>
      <c r="L145">
        <v>2349</v>
      </c>
      <c r="M145">
        <v>9733</v>
      </c>
      <c r="N145">
        <v>507.5</v>
      </c>
      <c r="O145">
        <v>742.2</v>
      </c>
      <c r="P145">
        <v>1.855</v>
      </c>
      <c r="Q145">
        <v>2.8963999999999999</v>
      </c>
      <c r="R145">
        <v>849</v>
      </c>
      <c r="S145">
        <v>72.47</v>
      </c>
      <c r="T145">
        <v>78.430000000000007</v>
      </c>
      <c r="U145">
        <v>2.2258</v>
      </c>
      <c r="AI145" s="26"/>
      <c r="AJ145" s="26"/>
      <c r="BN145"/>
      <c r="BO145"/>
    </row>
    <row r="146" spans="1:67" x14ac:dyDescent="0.25">
      <c r="A146">
        <v>648</v>
      </c>
      <c r="B146">
        <v>672</v>
      </c>
      <c r="C146">
        <v>6.92</v>
      </c>
      <c r="D146">
        <v>484</v>
      </c>
      <c r="E146">
        <v>1144</v>
      </c>
      <c r="F146">
        <v>309.10000000000002</v>
      </c>
      <c r="G146">
        <v>64.94</v>
      </c>
      <c r="H146">
        <v>4648</v>
      </c>
      <c r="I146">
        <v>9580</v>
      </c>
      <c r="J146">
        <v>3046</v>
      </c>
      <c r="K146">
        <v>8558</v>
      </c>
      <c r="L146">
        <v>2369</v>
      </c>
      <c r="M146">
        <v>9690</v>
      </c>
      <c r="N146">
        <v>501.75</v>
      </c>
      <c r="O146">
        <v>740.1</v>
      </c>
      <c r="P146">
        <v>1.865</v>
      </c>
      <c r="Q146">
        <v>3.0059</v>
      </c>
      <c r="R146">
        <v>870.75</v>
      </c>
      <c r="S146">
        <v>76.84</v>
      </c>
      <c r="T146">
        <v>82.67</v>
      </c>
      <c r="U146">
        <v>2.3214000000000001</v>
      </c>
      <c r="AI146" s="26"/>
      <c r="AJ146" s="26"/>
      <c r="BN146"/>
      <c r="BO146"/>
    </row>
    <row r="147" spans="1:67" x14ac:dyDescent="0.25">
      <c r="A147">
        <v>646</v>
      </c>
      <c r="B147">
        <v>678.5</v>
      </c>
      <c r="C147">
        <v>6.8975</v>
      </c>
      <c r="D147">
        <v>490.25</v>
      </c>
      <c r="E147">
        <v>1144</v>
      </c>
      <c r="F147">
        <v>309</v>
      </c>
      <c r="G147">
        <v>64.209999999999994</v>
      </c>
      <c r="H147">
        <v>4516</v>
      </c>
      <c r="I147">
        <v>9512</v>
      </c>
      <c r="J147">
        <v>3053</v>
      </c>
      <c r="K147">
        <v>8552</v>
      </c>
      <c r="L147">
        <v>2373</v>
      </c>
      <c r="M147">
        <v>9688</v>
      </c>
      <c r="N147">
        <v>495.75</v>
      </c>
      <c r="O147">
        <v>734.5</v>
      </c>
      <c r="P147">
        <v>1.88</v>
      </c>
      <c r="Q147">
        <v>3.0284</v>
      </c>
      <c r="R147">
        <v>866.75</v>
      </c>
      <c r="S147">
        <v>77.36</v>
      </c>
      <c r="T147">
        <v>83.12</v>
      </c>
      <c r="U147">
        <v>2.3207</v>
      </c>
      <c r="AI147" s="26"/>
      <c r="AJ147" s="26"/>
      <c r="BN147"/>
      <c r="BO147"/>
    </row>
    <row r="148" spans="1:67" x14ac:dyDescent="0.25">
      <c r="A148">
        <v>646</v>
      </c>
      <c r="B148">
        <v>673.25</v>
      </c>
      <c r="C148">
        <v>6.875</v>
      </c>
      <c r="D148">
        <v>494.5</v>
      </c>
      <c r="E148">
        <v>1152.75</v>
      </c>
      <c r="F148">
        <v>313.3</v>
      </c>
      <c r="G148">
        <v>64.47</v>
      </c>
      <c r="H148">
        <v>4485</v>
      </c>
      <c r="I148">
        <v>9440</v>
      </c>
      <c r="J148">
        <v>3061</v>
      </c>
      <c r="K148">
        <v>8502</v>
      </c>
      <c r="L148">
        <v>2378</v>
      </c>
      <c r="M148">
        <v>9627</v>
      </c>
      <c r="N148">
        <v>496</v>
      </c>
      <c r="O148">
        <v>742.9</v>
      </c>
      <c r="P148">
        <v>1.8474999999999999</v>
      </c>
      <c r="Q148">
        <v>3.0219</v>
      </c>
      <c r="R148">
        <v>858.75</v>
      </c>
      <c r="S148">
        <v>77.650000000000006</v>
      </c>
      <c r="T148">
        <v>83.14</v>
      </c>
      <c r="U148">
        <v>2.3218999999999999</v>
      </c>
      <c r="AI148" s="26"/>
      <c r="AJ148" s="26"/>
      <c r="BN148"/>
      <c r="BO148"/>
    </row>
    <row r="149" spans="1:67" x14ac:dyDescent="0.25">
      <c r="A149">
        <v>640</v>
      </c>
      <c r="B149">
        <v>666.25</v>
      </c>
      <c r="C149">
        <v>6.8250000000000002</v>
      </c>
      <c r="D149">
        <v>493.25</v>
      </c>
      <c r="E149">
        <v>1150</v>
      </c>
      <c r="F149">
        <v>312.10000000000002</v>
      </c>
      <c r="G149">
        <v>63.86</v>
      </c>
      <c r="H149">
        <v>4410</v>
      </c>
      <c r="I149">
        <v>9392</v>
      </c>
      <c r="J149">
        <v>3052</v>
      </c>
      <c r="K149">
        <v>8462</v>
      </c>
      <c r="L149">
        <v>2378</v>
      </c>
      <c r="M149">
        <v>9632</v>
      </c>
      <c r="N149">
        <v>494</v>
      </c>
      <c r="O149">
        <v>739.5</v>
      </c>
      <c r="P149">
        <v>1.8374999999999999</v>
      </c>
      <c r="Q149">
        <v>2.9171999999999998</v>
      </c>
      <c r="R149">
        <v>819</v>
      </c>
      <c r="S149">
        <v>76</v>
      </c>
      <c r="T149">
        <v>81.209999999999994</v>
      </c>
      <c r="U149">
        <v>2.2692000000000001</v>
      </c>
      <c r="AI149" s="26"/>
      <c r="AJ149" s="26"/>
      <c r="BN149"/>
      <c r="BO149"/>
    </row>
    <row r="150" spans="1:67" x14ac:dyDescent="0.25">
      <c r="A150">
        <v>633.75</v>
      </c>
      <c r="B150">
        <v>653.75</v>
      </c>
      <c r="C150">
        <v>6.7525000000000004</v>
      </c>
      <c r="D150">
        <v>489</v>
      </c>
      <c r="E150">
        <v>1143.75</v>
      </c>
      <c r="F150">
        <v>313.10000000000002</v>
      </c>
      <c r="G150">
        <v>62.87</v>
      </c>
      <c r="H150">
        <v>4405</v>
      </c>
      <c r="I150">
        <v>9510</v>
      </c>
      <c r="J150">
        <v>3069</v>
      </c>
      <c r="K150">
        <v>8518</v>
      </c>
      <c r="L150">
        <v>2392</v>
      </c>
      <c r="M150">
        <v>9608</v>
      </c>
      <c r="N150">
        <v>492.5</v>
      </c>
      <c r="O150">
        <v>734.8</v>
      </c>
      <c r="P150">
        <v>1.835</v>
      </c>
      <c r="Q150">
        <v>2.9489999999999998</v>
      </c>
      <c r="R150">
        <v>842.5</v>
      </c>
      <c r="S150">
        <v>76.760000000000005</v>
      </c>
      <c r="T150">
        <v>82.46</v>
      </c>
      <c r="U150">
        <v>2.3069000000000002</v>
      </c>
      <c r="AI150" s="26"/>
      <c r="AJ150" s="26"/>
      <c r="BN150"/>
      <c r="BO150"/>
    </row>
    <row r="151" spans="1:67" x14ac:dyDescent="0.25">
      <c r="A151">
        <v>631.5</v>
      </c>
      <c r="B151">
        <v>652</v>
      </c>
      <c r="C151">
        <v>6.72</v>
      </c>
      <c r="D151">
        <v>486.5</v>
      </c>
      <c r="E151">
        <v>1146.5</v>
      </c>
      <c r="F151">
        <v>316.2</v>
      </c>
      <c r="G151">
        <v>62.44</v>
      </c>
      <c r="I151">
        <v>9574</v>
      </c>
      <c r="J151">
        <v>3083</v>
      </c>
      <c r="K151">
        <v>8592</v>
      </c>
      <c r="L151">
        <v>2411</v>
      </c>
      <c r="M151">
        <v>9676</v>
      </c>
      <c r="N151">
        <v>489.5</v>
      </c>
      <c r="O151">
        <v>732.3</v>
      </c>
      <c r="P151">
        <v>1.8374999999999999</v>
      </c>
      <c r="Q151">
        <v>2.8083999999999998</v>
      </c>
      <c r="R151">
        <v>829.5</v>
      </c>
      <c r="S151">
        <v>73.59</v>
      </c>
      <c r="T151">
        <v>79.540000000000006</v>
      </c>
      <c r="U151">
        <v>2.2170999999999998</v>
      </c>
      <c r="AI151" s="26"/>
      <c r="AJ151" s="26"/>
      <c r="BN151"/>
      <c r="BO151"/>
    </row>
    <row r="152" spans="1:67" x14ac:dyDescent="0.25">
      <c r="A152">
        <v>637.75</v>
      </c>
      <c r="B152">
        <v>654.75</v>
      </c>
      <c r="C152">
        <v>6.7149999999999999</v>
      </c>
      <c r="D152">
        <v>490.75</v>
      </c>
      <c r="E152">
        <v>1141</v>
      </c>
      <c r="F152">
        <v>318.10000000000002</v>
      </c>
      <c r="G152">
        <v>62.27</v>
      </c>
      <c r="I152">
        <v>9428</v>
      </c>
      <c r="J152">
        <v>3067</v>
      </c>
      <c r="K152">
        <v>8514</v>
      </c>
      <c r="L152">
        <v>2403</v>
      </c>
      <c r="M152">
        <v>9610</v>
      </c>
      <c r="N152">
        <v>492.75</v>
      </c>
      <c r="O152">
        <v>735.5</v>
      </c>
      <c r="P152">
        <v>1.8474999999999999</v>
      </c>
      <c r="Q152">
        <v>3.0203000000000002</v>
      </c>
      <c r="R152">
        <v>852.25</v>
      </c>
      <c r="S152">
        <v>78.58</v>
      </c>
      <c r="T152">
        <v>84.62</v>
      </c>
      <c r="U152">
        <v>2.3479999999999999</v>
      </c>
      <c r="AI152" s="26"/>
      <c r="AJ152" s="26"/>
      <c r="BN152"/>
      <c r="BO152"/>
    </row>
    <row r="153" spans="1:67" x14ac:dyDescent="0.25">
      <c r="A153">
        <v>650</v>
      </c>
      <c r="B153">
        <v>675.75</v>
      </c>
      <c r="C153">
        <v>6.8624999999999998</v>
      </c>
      <c r="D153">
        <v>494.5</v>
      </c>
      <c r="E153">
        <v>1146.25</v>
      </c>
      <c r="F153">
        <v>321.5</v>
      </c>
      <c r="G153">
        <v>62.27</v>
      </c>
      <c r="H153">
        <v>4452</v>
      </c>
      <c r="I153">
        <v>9482</v>
      </c>
      <c r="J153">
        <v>3048</v>
      </c>
      <c r="K153">
        <v>8520</v>
      </c>
      <c r="L153">
        <v>2382</v>
      </c>
      <c r="M153">
        <v>9622</v>
      </c>
      <c r="N153">
        <v>492.25</v>
      </c>
      <c r="O153">
        <v>737.9</v>
      </c>
      <c r="P153">
        <v>1.845</v>
      </c>
      <c r="Q153">
        <v>2.907</v>
      </c>
      <c r="R153">
        <v>831.75</v>
      </c>
      <c r="S153">
        <v>78.41</v>
      </c>
      <c r="T153">
        <v>83.96</v>
      </c>
      <c r="U153">
        <v>2.3285999999999998</v>
      </c>
      <c r="AI153" s="26"/>
      <c r="AJ153" s="26"/>
      <c r="BN153"/>
      <c r="BO153"/>
    </row>
    <row r="154" spans="1:67" x14ac:dyDescent="0.25">
      <c r="A154">
        <v>644.25</v>
      </c>
      <c r="B154">
        <v>673.5</v>
      </c>
      <c r="C154">
        <v>6.8075000000000001</v>
      </c>
      <c r="D154">
        <v>489.75</v>
      </c>
      <c r="E154">
        <v>1141.5</v>
      </c>
      <c r="F154">
        <v>314.7</v>
      </c>
      <c r="G154">
        <v>62.43</v>
      </c>
      <c r="H154">
        <v>4358</v>
      </c>
      <c r="I154">
        <v>9534</v>
      </c>
      <c r="J154">
        <v>3043</v>
      </c>
      <c r="K154">
        <v>8494</v>
      </c>
      <c r="L154">
        <v>2377</v>
      </c>
      <c r="M154">
        <v>9589</v>
      </c>
      <c r="N154">
        <v>493.75</v>
      </c>
      <c r="O154">
        <v>730.5</v>
      </c>
      <c r="P154">
        <v>1.8125</v>
      </c>
      <c r="Q154">
        <v>2.8767999999999998</v>
      </c>
      <c r="R154">
        <v>819.75</v>
      </c>
      <c r="S154">
        <v>77.86</v>
      </c>
      <c r="T154">
        <v>83.39</v>
      </c>
      <c r="U154">
        <v>2.3258000000000001</v>
      </c>
      <c r="AI154" s="26"/>
      <c r="AJ154" s="26"/>
      <c r="BN154"/>
      <c r="BO154"/>
    </row>
    <row r="155" spans="1:67" x14ac:dyDescent="0.25">
      <c r="A155">
        <v>630.25</v>
      </c>
      <c r="B155">
        <v>655</v>
      </c>
      <c r="C155">
        <v>6.6924999999999999</v>
      </c>
      <c r="D155">
        <v>481.75</v>
      </c>
      <c r="E155">
        <v>1131.25</v>
      </c>
      <c r="F155">
        <v>309.8</v>
      </c>
      <c r="G155">
        <v>62.5</v>
      </c>
      <c r="H155">
        <v>4411</v>
      </c>
      <c r="I155">
        <v>9564</v>
      </c>
      <c r="J155">
        <v>3045</v>
      </c>
      <c r="K155">
        <v>8528</v>
      </c>
      <c r="L155">
        <v>2392</v>
      </c>
      <c r="M155">
        <v>9636</v>
      </c>
      <c r="N155">
        <v>492.5</v>
      </c>
      <c r="O155">
        <v>731.6</v>
      </c>
      <c r="P155">
        <v>1.8075000000000001</v>
      </c>
      <c r="Q155">
        <v>2.8258999999999999</v>
      </c>
      <c r="R155">
        <v>787.5</v>
      </c>
      <c r="S155">
        <v>76.36</v>
      </c>
      <c r="T155">
        <v>81.14</v>
      </c>
      <c r="U155">
        <v>2.2673000000000001</v>
      </c>
      <c r="AI155" s="26"/>
      <c r="AJ155" s="26"/>
      <c r="BN155"/>
      <c r="BO155"/>
    </row>
    <row r="156" spans="1:67" x14ac:dyDescent="0.25">
      <c r="A156">
        <v>638.25</v>
      </c>
      <c r="B156">
        <v>664</v>
      </c>
      <c r="C156">
        <v>6.7874999999999996</v>
      </c>
      <c r="D156">
        <v>480</v>
      </c>
      <c r="E156">
        <v>1120.75</v>
      </c>
      <c r="F156">
        <v>310.39999999999998</v>
      </c>
      <c r="G156">
        <v>60.68</v>
      </c>
      <c r="H156">
        <v>4488</v>
      </c>
      <c r="I156">
        <v>9592</v>
      </c>
      <c r="J156">
        <v>3056</v>
      </c>
      <c r="K156">
        <v>8614</v>
      </c>
      <c r="L156">
        <v>2405</v>
      </c>
      <c r="M156">
        <v>9682</v>
      </c>
      <c r="N156">
        <v>486</v>
      </c>
      <c r="O156">
        <v>703.6</v>
      </c>
      <c r="P156">
        <v>1.7725</v>
      </c>
      <c r="Q156">
        <v>2.7339000000000002</v>
      </c>
      <c r="R156">
        <v>786.25</v>
      </c>
      <c r="S156">
        <v>74.77</v>
      </c>
      <c r="T156">
        <v>79.23</v>
      </c>
      <c r="U156">
        <v>2.2103000000000002</v>
      </c>
      <c r="AI156" s="26"/>
      <c r="AJ156" s="26"/>
      <c r="BN156"/>
      <c r="BO156"/>
    </row>
    <row r="157" spans="1:67" x14ac:dyDescent="0.25">
      <c r="A157">
        <v>653.75</v>
      </c>
      <c r="B157">
        <v>677</v>
      </c>
      <c r="C157">
        <v>6.89</v>
      </c>
      <c r="D157">
        <v>491.5</v>
      </c>
      <c r="E157">
        <v>1161.5</v>
      </c>
      <c r="F157">
        <v>315.5</v>
      </c>
      <c r="G157">
        <v>64</v>
      </c>
      <c r="H157">
        <v>4431</v>
      </c>
      <c r="I157">
        <v>9508</v>
      </c>
      <c r="J157">
        <v>3079</v>
      </c>
      <c r="K157">
        <v>8582</v>
      </c>
      <c r="L157">
        <v>2409</v>
      </c>
      <c r="M157">
        <v>9649</v>
      </c>
      <c r="N157">
        <v>497.75</v>
      </c>
      <c r="O157">
        <v>738.6</v>
      </c>
      <c r="P157">
        <v>1.7949999999999999</v>
      </c>
      <c r="Q157">
        <v>2.7865000000000002</v>
      </c>
      <c r="R157">
        <v>787.75</v>
      </c>
      <c r="S157">
        <v>76.319999999999993</v>
      </c>
      <c r="T157">
        <v>80.48</v>
      </c>
      <c r="U157">
        <v>2.2532000000000001</v>
      </c>
      <c r="AI157" s="26"/>
      <c r="AJ157" s="26"/>
      <c r="BN157"/>
      <c r="BO157"/>
    </row>
    <row r="158" spans="1:67" x14ac:dyDescent="0.25">
      <c r="A158">
        <v>639.25</v>
      </c>
      <c r="B158">
        <v>661.5</v>
      </c>
      <c r="C158">
        <v>6.7774999999999999</v>
      </c>
      <c r="D158">
        <v>490</v>
      </c>
      <c r="E158">
        <v>1167.5</v>
      </c>
      <c r="F158">
        <v>316.10000000000002</v>
      </c>
      <c r="G158">
        <v>63.95</v>
      </c>
      <c r="H158">
        <v>4391</v>
      </c>
      <c r="I158">
        <v>9472</v>
      </c>
      <c r="J158">
        <v>3086</v>
      </c>
      <c r="K158">
        <v>8532</v>
      </c>
      <c r="L158">
        <v>2406</v>
      </c>
      <c r="M158">
        <v>9648</v>
      </c>
      <c r="N158">
        <v>497.5</v>
      </c>
      <c r="O158">
        <v>736.4</v>
      </c>
      <c r="P158">
        <v>1.7749999999999999</v>
      </c>
      <c r="Q158">
        <v>2.7730000000000001</v>
      </c>
      <c r="R158">
        <v>778.25</v>
      </c>
      <c r="S158">
        <v>75.17</v>
      </c>
      <c r="T158">
        <v>79.239999999999995</v>
      </c>
      <c r="U158">
        <v>2.2349000000000001</v>
      </c>
      <c r="AI158" s="26"/>
      <c r="AJ158" s="26"/>
      <c r="BN158"/>
      <c r="BO158"/>
    </row>
    <row r="159" spans="1:67" x14ac:dyDescent="0.25">
      <c r="A159">
        <v>636.5</v>
      </c>
      <c r="B159">
        <v>661.75</v>
      </c>
      <c r="C159">
        <v>6.79</v>
      </c>
      <c r="D159">
        <v>489</v>
      </c>
      <c r="E159">
        <v>1163.25</v>
      </c>
      <c r="F159">
        <v>314.2</v>
      </c>
      <c r="G159">
        <v>63.8</v>
      </c>
      <c r="H159">
        <v>4344</v>
      </c>
      <c r="I159">
        <v>9338</v>
      </c>
      <c r="J159">
        <v>3078</v>
      </c>
      <c r="K159">
        <v>8416</v>
      </c>
      <c r="L159">
        <v>2393</v>
      </c>
      <c r="M159">
        <v>9587</v>
      </c>
      <c r="N159">
        <v>495</v>
      </c>
      <c r="O159">
        <v>732.6</v>
      </c>
      <c r="P159">
        <v>1.7775000000000001</v>
      </c>
      <c r="Q159">
        <v>2.6951999999999998</v>
      </c>
      <c r="R159">
        <v>753.75</v>
      </c>
      <c r="S159">
        <v>72.31</v>
      </c>
      <c r="T159">
        <v>76.63</v>
      </c>
      <c r="U159">
        <v>2.1637</v>
      </c>
      <c r="AI159" s="26"/>
      <c r="AJ159" s="26"/>
      <c r="BN159"/>
      <c r="BO159"/>
    </row>
    <row r="160" spans="1:67" x14ac:dyDescent="0.25">
      <c r="A160">
        <v>634</v>
      </c>
      <c r="B160">
        <v>658</v>
      </c>
      <c r="C160">
        <v>6.7575000000000003</v>
      </c>
      <c r="D160">
        <v>479.75</v>
      </c>
      <c r="E160">
        <v>1153.5</v>
      </c>
      <c r="F160">
        <v>314.2</v>
      </c>
      <c r="G160">
        <v>62.27</v>
      </c>
      <c r="H160">
        <v>4300</v>
      </c>
      <c r="I160">
        <v>9346</v>
      </c>
      <c r="J160">
        <v>3069</v>
      </c>
      <c r="K160">
        <v>8444</v>
      </c>
      <c r="L160">
        <v>2385</v>
      </c>
      <c r="M160">
        <v>9628</v>
      </c>
      <c r="N160">
        <v>484.5</v>
      </c>
      <c r="O160">
        <v>720.5</v>
      </c>
      <c r="P160">
        <v>1.7224999999999999</v>
      </c>
      <c r="Q160">
        <v>2.5880999999999998</v>
      </c>
      <c r="R160">
        <v>744.5</v>
      </c>
      <c r="S160">
        <v>69.37</v>
      </c>
      <c r="T160">
        <v>73.819999999999993</v>
      </c>
      <c r="U160">
        <v>2.0771000000000002</v>
      </c>
      <c r="AI160" s="26"/>
      <c r="AJ160" s="26"/>
      <c r="BN160"/>
      <c r="BO160"/>
    </row>
    <row r="161" spans="1:67" x14ac:dyDescent="0.25">
      <c r="A161">
        <v>641.25</v>
      </c>
      <c r="B161">
        <v>666</v>
      </c>
      <c r="C161">
        <v>6.8425000000000002</v>
      </c>
      <c r="D161">
        <v>481.75</v>
      </c>
      <c r="E161">
        <v>1148.25</v>
      </c>
      <c r="F161">
        <v>313.2</v>
      </c>
      <c r="G161">
        <v>62.55</v>
      </c>
      <c r="H161">
        <v>4391</v>
      </c>
      <c r="I161">
        <v>9582</v>
      </c>
      <c r="J161">
        <v>3133</v>
      </c>
      <c r="K161">
        <v>8590</v>
      </c>
      <c r="L161">
        <v>2431</v>
      </c>
      <c r="M161">
        <v>9814</v>
      </c>
      <c r="N161">
        <v>497.5</v>
      </c>
      <c r="O161">
        <v>724.6</v>
      </c>
      <c r="P161">
        <v>1.77</v>
      </c>
      <c r="Q161">
        <v>2.6501999999999999</v>
      </c>
      <c r="R161">
        <v>748.25</v>
      </c>
      <c r="S161">
        <v>71.17</v>
      </c>
      <c r="T161">
        <v>75.88</v>
      </c>
      <c r="U161">
        <v>2.1465999999999998</v>
      </c>
      <c r="AI161" s="26"/>
      <c r="AJ161" s="26"/>
      <c r="BN161"/>
      <c r="BO161"/>
    </row>
    <row r="162" spans="1:67" x14ac:dyDescent="0.25">
      <c r="A162">
        <v>652</v>
      </c>
      <c r="B162">
        <v>668</v>
      </c>
      <c r="C162">
        <v>6.8075000000000001</v>
      </c>
      <c r="D162">
        <v>484.5</v>
      </c>
      <c r="E162">
        <v>1146.75</v>
      </c>
      <c r="F162">
        <v>314.39999999999998</v>
      </c>
      <c r="G162">
        <v>62.77</v>
      </c>
      <c r="H162">
        <v>4305</v>
      </c>
      <c r="I162">
        <v>9074</v>
      </c>
      <c r="J162">
        <v>3048</v>
      </c>
      <c r="K162">
        <v>8344</v>
      </c>
      <c r="L162">
        <v>2348</v>
      </c>
      <c r="M162">
        <v>9495</v>
      </c>
      <c r="N162">
        <v>491.75</v>
      </c>
      <c r="O162">
        <v>731.7</v>
      </c>
      <c r="P162">
        <v>1.7975000000000001</v>
      </c>
      <c r="Q162">
        <v>2.5769000000000002</v>
      </c>
      <c r="R162">
        <v>730</v>
      </c>
      <c r="S162">
        <v>69.239999999999995</v>
      </c>
      <c r="T162">
        <v>73.31</v>
      </c>
      <c r="U162">
        <v>2.0907</v>
      </c>
      <c r="AI162" s="26"/>
      <c r="AJ162" s="26"/>
      <c r="BN162"/>
      <c r="BO162"/>
    </row>
    <row r="163" spans="1:67" x14ac:dyDescent="0.25">
      <c r="A163">
        <v>621.75</v>
      </c>
      <c r="B163">
        <v>639.5</v>
      </c>
      <c r="C163">
        <v>6.625</v>
      </c>
      <c r="D163">
        <v>478</v>
      </c>
      <c r="E163">
        <v>1136.5</v>
      </c>
      <c r="F163">
        <v>310</v>
      </c>
      <c r="G163">
        <v>62.23</v>
      </c>
      <c r="H163">
        <v>4189</v>
      </c>
      <c r="I163">
        <v>8994</v>
      </c>
      <c r="J163">
        <v>3009</v>
      </c>
      <c r="K163">
        <v>8310</v>
      </c>
      <c r="L163">
        <v>2318</v>
      </c>
      <c r="M163">
        <v>9387</v>
      </c>
      <c r="N163">
        <v>485.75</v>
      </c>
      <c r="O163">
        <v>725.2</v>
      </c>
      <c r="P163">
        <v>1.77</v>
      </c>
      <c r="Q163">
        <v>2.5320999999999998</v>
      </c>
      <c r="R163">
        <v>723.25</v>
      </c>
      <c r="S163">
        <v>67.31</v>
      </c>
      <c r="T163">
        <v>71.25</v>
      </c>
      <c r="U163">
        <v>2.0421</v>
      </c>
      <c r="AI163" s="26"/>
      <c r="AJ163" s="26"/>
      <c r="BN163"/>
      <c r="BO163"/>
    </row>
    <row r="164" spans="1:67" x14ac:dyDescent="0.25">
      <c r="A164">
        <v>607.25</v>
      </c>
      <c r="B164">
        <v>620.75</v>
      </c>
      <c r="C164">
        <v>6.56</v>
      </c>
      <c r="D164">
        <v>470.25</v>
      </c>
      <c r="E164">
        <v>1130.5</v>
      </c>
      <c r="F164">
        <v>311.7</v>
      </c>
      <c r="G164">
        <v>60.73</v>
      </c>
      <c r="H164">
        <v>4169</v>
      </c>
      <c r="I164">
        <v>8980</v>
      </c>
      <c r="J164">
        <v>3007</v>
      </c>
      <c r="K164">
        <v>8330</v>
      </c>
      <c r="L164">
        <v>2321</v>
      </c>
      <c r="M164">
        <v>9376</v>
      </c>
      <c r="N164">
        <v>479.25</v>
      </c>
      <c r="O164">
        <v>717.4</v>
      </c>
      <c r="P164">
        <v>1.7350000000000001</v>
      </c>
      <c r="Q164">
        <v>2.4937</v>
      </c>
      <c r="R164">
        <v>713.75</v>
      </c>
      <c r="S164">
        <v>65.7</v>
      </c>
      <c r="T164">
        <v>70.040000000000006</v>
      </c>
      <c r="U164">
        <v>2.0070000000000001</v>
      </c>
      <c r="AI164" s="26"/>
      <c r="AJ164" s="26"/>
      <c r="BN164"/>
      <c r="BO164"/>
    </row>
    <row r="165" spans="1:67" x14ac:dyDescent="0.25">
      <c r="A165">
        <v>614.25</v>
      </c>
      <c r="B165">
        <v>627.25</v>
      </c>
      <c r="C165">
        <v>6.5824999999999996</v>
      </c>
      <c r="D165">
        <v>471.25</v>
      </c>
      <c r="E165">
        <v>1131.5</v>
      </c>
      <c r="F165">
        <v>314.89999999999998</v>
      </c>
      <c r="G165">
        <v>60.46</v>
      </c>
      <c r="H165">
        <v>4174</v>
      </c>
      <c r="I165">
        <v>8958</v>
      </c>
      <c r="J165">
        <v>3019</v>
      </c>
      <c r="K165">
        <v>8290</v>
      </c>
      <c r="L165">
        <v>2329</v>
      </c>
      <c r="M165">
        <v>9347</v>
      </c>
      <c r="N165">
        <v>482.5</v>
      </c>
      <c r="O165">
        <v>713.9</v>
      </c>
      <c r="P165">
        <v>1.74</v>
      </c>
      <c r="Q165">
        <v>2.5125000000000002</v>
      </c>
      <c r="R165">
        <v>725</v>
      </c>
      <c r="S165">
        <v>65.290000000000006</v>
      </c>
      <c r="T165">
        <v>69.77</v>
      </c>
      <c r="U165">
        <v>1.9957</v>
      </c>
      <c r="AI165" s="26"/>
      <c r="AJ165" s="26"/>
      <c r="BN165"/>
      <c r="BO165"/>
    </row>
    <row r="166" spans="1:67" x14ac:dyDescent="0.25">
      <c r="A166">
        <v>615.25</v>
      </c>
      <c r="B166">
        <v>623.5</v>
      </c>
      <c r="C166">
        <v>6.5449999999999999</v>
      </c>
      <c r="D166">
        <v>470</v>
      </c>
      <c r="E166">
        <v>1128.75</v>
      </c>
      <c r="F166">
        <v>315.2</v>
      </c>
      <c r="G166">
        <v>60.52</v>
      </c>
      <c r="H166">
        <v>4138</v>
      </c>
      <c r="I166">
        <v>8864</v>
      </c>
      <c r="J166">
        <v>3003</v>
      </c>
      <c r="K166">
        <v>8196</v>
      </c>
      <c r="L166">
        <v>2307</v>
      </c>
      <c r="M166">
        <v>9227</v>
      </c>
      <c r="N166">
        <v>478.75</v>
      </c>
      <c r="O166">
        <v>708.5</v>
      </c>
      <c r="P166">
        <v>1.7375</v>
      </c>
      <c r="Q166">
        <v>2.4706000000000001</v>
      </c>
      <c r="R166">
        <v>709</v>
      </c>
      <c r="S166">
        <v>64.78</v>
      </c>
      <c r="T166">
        <v>69.42</v>
      </c>
      <c r="U166">
        <v>1.9821</v>
      </c>
      <c r="AI166" s="26"/>
      <c r="AJ166" s="26"/>
      <c r="BN166"/>
      <c r="BO166"/>
    </row>
    <row r="167" spans="1:67" x14ac:dyDescent="0.25">
      <c r="A167">
        <v>626.75</v>
      </c>
      <c r="B167">
        <v>629</v>
      </c>
      <c r="C167">
        <v>6.5824999999999996</v>
      </c>
      <c r="D167">
        <v>469.5</v>
      </c>
      <c r="E167">
        <v>1128.25</v>
      </c>
      <c r="F167">
        <v>317.89999999999998</v>
      </c>
      <c r="G167">
        <v>59.73</v>
      </c>
      <c r="H167">
        <v>4029</v>
      </c>
      <c r="I167">
        <v>8764</v>
      </c>
      <c r="J167">
        <v>3003</v>
      </c>
      <c r="K167">
        <v>8170</v>
      </c>
      <c r="L167">
        <v>2293</v>
      </c>
      <c r="M167">
        <v>9144</v>
      </c>
      <c r="N167">
        <v>474</v>
      </c>
      <c r="O167">
        <v>698.9</v>
      </c>
      <c r="P167">
        <v>1.7350000000000001</v>
      </c>
      <c r="Q167">
        <v>2.4039000000000001</v>
      </c>
      <c r="R167">
        <v>674.25</v>
      </c>
      <c r="S167">
        <v>63.73</v>
      </c>
      <c r="T167">
        <v>68.239999999999995</v>
      </c>
      <c r="U167">
        <v>1.9426000000000001</v>
      </c>
      <c r="AI167" s="26"/>
      <c r="AJ167" s="26"/>
      <c r="BN167"/>
      <c r="BO167"/>
    </row>
    <row r="168" spans="1:67" x14ac:dyDescent="0.25">
      <c r="A168">
        <v>610.75</v>
      </c>
      <c r="B168">
        <v>612.5</v>
      </c>
      <c r="C168">
        <v>6.48</v>
      </c>
      <c r="D168">
        <v>467</v>
      </c>
      <c r="E168">
        <v>1127.5</v>
      </c>
      <c r="F168">
        <v>318.7</v>
      </c>
      <c r="G168">
        <v>59.56</v>
      </c>
      <c r="H168">
        <v>3992</v>
      </c>
      <c r="I168">
        <v>8778</v>
      </c>
      <c r="J168">
        <v>3001</v>
      </c>
      <c r="K168">
        <v>8136</v>
      </c>
      <c r="L168">
        <v>2298</v>
      </c>
      <c r="M168">
        <v>9136</v>
      </c>
      <c r="N168">
        <v>473.75</v>
      </c>
      <c r="O168">
        <v>705.1</v>
      </c>
      <c r="P168">
        <v>1.7375</v>
      </c>
      <c r="Q168">
        <v>2.3681999999999999</v>
      </c>
      <c r="R168">
        <v>673</v>
      </c>
      <c r="S168">
        <v>62.58</v>
      </c>
      <c r="T168">
        <v>67.010000000000005</v>
      </c>
      <c r="U168">
        <v>1.9171</v>
      </c>
      <c r="AI168" s="26"/>
      <c r="AJ168" s="26"/>
      <c r="BN168"/>
      <c r="BO168"/>
    </row>
    <row r="169" spans="1:67" x14ac:dyDescent="0.25">
      <c r="A169">
        <v>606.5</v>
      </c>
      <c r="B169">
        <v>613.25</v>
      </c>
      <c r="C169">
        <v>6.4474999999999998</v>
      </c>
      <c r="D169">
        <v>467</v>
      </c>
      <c r="E169">
        <v>1127.75</v>
      </c>
      <c r="F169">
        <v>320.60000000000002</v>
      </c>
      <c r="G169">
        <v>58.86</v>
      </c>
      <c r="H169">
        <v>4029</v>
      </c>
      <c r="I169">
        <v>8830</v>
      </c>
      <c r="J169">
        <v>2989</v>
      </c>
      <c r="K169">
        <v>8112</v>
      </c>
      <c r="L169">
        <v>2288</v>
      </c>
      <c r="M169">
        <v>9140</v>
      </c>
      <c r="N169">
        <v>470.75</v>
      </c>
      <c r="O169">
        <v>703.5</v>
      </c>
      <c r="P169">
        <v>1.74</v>
      </c>
      <c r="Q169">
        <v>2.3645999999999998</v>
      </c>
      <c r="R169">
        <v>661</v>
      </c>
      <c r="S169">
        <v>63.05</v>
      </c>
      <c r="T169">
        <v>67.23</v>
      </c>
      <c r="U169">
        <v>1.9154</v>
      </c>
      <c r="AI169" s="26"/>
      <c r="AJ169" s="26"/>
      <c r="BN169"/>
      <c r="BO169"/>
    </row>
    <row r="170" spans="1:67" x14ac:dyDescent="0.25">
      <c r="A170">
        <v>611.5</v>
      </c>
      <c r="B170">
        <v>617</v>
      </c>
      <c r="C170">
        <v>6.4325000000000001</v>
      </c>
      <c r="D170">
        <v>463.75</v>
      </c>
      <c r="E170">
        <v>1121.25</v>
      </c>
      <c r="F170">
        <v>316.2</v>
      </c>
      <c r="G170">
        <v>58.97</v>
      </c>
      <c r="H170">
        <v>4039</v>
      </c>
      <c r="I170">
        <v>8828</v>
      </c>
      <c r="J170">
        <v>2961</v>
      </c>
      <c r="K170">
        <v>8056</v>
      </c>
      <c r="L170">
        <v>2268</v>
      </c>
      <c r="M170">
        <v>9103</v>
      </c>
      <c r="N170">
        <v>475</v>
      </c>
      <c r="O170">
        <v>702.2</v>
      </c>
      <c r="P170">
        <v>1.7275</v>
      </c>
      <c r="Q170">
        <v>2.3572000000000002</v>
      </c>
      <c r="R170">
        <v>663</v>
      </c>
      <c r="S170">
        <v>63.13</v>
      </c>
      <c r="T170">
        <v>67.150000000000006</v>
      </c>
      <c r="U170">
        <v>1.9072</v>
      </c>
      <c r="AI170" s="26"/>
      <c r="AJ170" s="26"/>
      <c r="BN170"/>
      <c r="BO170"/>
    </row>
    <row r="171" spans="1:67" x14ac:dyDescent="0.25">
      <c r="A171">
        <v>610.75</v>
      </c>
      <c r="B171">
        <v>620</v>
      </c>
      <c r="C171">
        <v>6.4474999999999998</v>
      </c>
      <c r="D171">
        <v>464.5</v>
      </c>
      <c r="E171">
        <v>1117.25</v>
      </c>
      <c r="F171">
        <v>314.89999999999998</v>
      </c>
      <c r="G171">
        <v>58.47</v>
      </c>
      <c r="H171">
        <v>4066</v>
      </c>
      <c r="N171">
        <v>473.75</v>
      </c>
      <c r="O171">
        <v>699</v>
      </c>
      <c r="P171">
        <v>1.7275</v>
      </c>
      <c r="Q171">
        <v>2.3553000000000002</v>
      </c>
      <c r="R171">
        <v>670</v>
      </c>
      <c r="S171">
        <v>63.23</v>
      </c>
      <c r="T171">
        <v>67.180000000000007</v>
      </c>
      <c r="U171">
        <v>1.9094</v>
      </c>
      <c r="AI171" s="26"/>
      <c r="AJ171" s="26"/>
      <c r="BN171"/>
      <c r="BO171"/>
    </row>
    <row r="172" spans="1:67" x14ac:dyDescent="0.25">
      <c r="A172">
        <v>615</v>
      </c>
      <c r="B172">
        <v>630</v>
      </c>
      <c r="C172">
        <v>6.48</v>
      </c>
      <c r="D172">
        <v>464.5</v>
      </c>
      <c r="E172">
        <v>1115</v>
      </c>
      <c r="F172">
        <v>316.10000000000002</v>
      </c>
      <c r="G172">
        <v>57.84</v>
      </c>
      <c r="H172">
        <v>4099</v>
      </c>
      <c r="N172">
        <v>471.5</v>
      </c>
      <c r="O172">
        <v>693.9</v>
      </c>
      <c r="P172">
        <v>1.7124999999999999</v>
      </c>
      <c r="Q172">
        <v>2.3378000000000001</v>
      </c>
      <c r="R172">
        <v>663</v>
      </c>
      <c r="S172">
        <v>63.08</v>
      </c>
      <c r="T172">
        <v>67.06</v>
      </c>
      <c r="U172">
        <v>1.9067000000000001</v>
      </c>
      <c r="AI172" s="26"/>
      <c r="AJ172" s="26"/>
      <c r="BN172"/>
      <c r="BO172"/>
    </row>
    <row r="173" spans="1:67" x14ac:dyDescent="0.25">
      <c r="A173">
        <v>603</v>
      </c>
      <c r="B173">
        <v>622.5</v>
      </c>
      <c r="C173">
        <v>6.4249999999999998</v>
      </c>
      <c r="D173">
        <v>461.5</v>
      </c>
      <c r="E173">
        <v>1118.25</v>
      </c>
      <c r="F173">
        <v>313.2</v>
      </c>
      <c r="G173">
        <v>58.49</v>
      </c>
      <c r="H173">
        <v>4102</v>
      </c>
      <c r="N173">
        <v>475.75</v>
      </c>
      <c r="O173">
        <v>694.5</v>
      </c>
      <c r="P173">
        <v>1.7150000000000001</v>
      </c>
      <c r="Q173">
        <v>2.3420999999999998</v>
      </c>
      <c r="R173">
        <v>659.5</v>
      </c>
      <c r="S173">
        <v>63.01</v>
      </c>
      <c r="T173">
        <v>67.03</v>
      </c>
      <c r="U173">
        <v>1.9001999999999999</v>
      </c>
      <c r="AI173" s="26"/>
      <c r="AJ173" s="26"/>
      <c r="BN173"/>
      <c r="BO173"/>
    </row>
    <row r="174" spans="1:67" x14ac:dyDescent="0.25">
      <c r="A174">
        <v>589</v>
      </c>
      <c r="B174">
        <v>609</v>
      </c>
      <c r="C174">
        <v>6.3425000000000002</v>
      </c>
      <c r="D174">
        <v>461</v>
      </c>
      <c r="E174">
        <v>1116.5</v>
      </c>
      <c r="F174">
        <v>314.2</v>
      </c>
      <c r="G174">
        <v>57.7</v>
      </c>
      <c r="N174">
        <v>470.5</v>
      </c>
      <c r="O174">
        <v>693.5</v>
      </c>
      <c r="P174">
        <v>1.6875</v>
      </c>
      <c r="Q174">
        <v>2.3043999999999998</v>
      </c>
      <c r="R174">
        <v>646</v>
      </c>
      <c r="S174">
        <v>62.22</v>
      </c>
      <c r="T174">
        <v>66.19</v>
      </c>
      <c r="U174">
        <v>1.8721000000000001</v>
      </c>
      <c r="AI174" s="26"/>
      <c r="AJ174" s="26"/>
      <c r="BN174"/>
      <c r="BO174"/>
    </row>
    <row r="175" spans="1:67" x14ac:dyDescent="0.25">
      <c r="A175">
        <v>581.5</v>
      </c>
      <c r="B175">
        <v>600</v>
      </c>
      <c r="C175">
        <v>6.29</v>
      </c>
      <c r="D175">
        <v>460</v>
      </c>
      <c r="E175">
        <v>1117.5</v>
      </c>
      <c r="F175">
        <v>318.2</v>
      </c>
      <c r="G175">
        <v>56.51</v>
      </c>
      <c r="N175">
        <v>468.5</v>
      </c>
      <c r="O175">
        <v>686.5</v>
      </c>
      <c r="P175">
        <v>1.6775</v>
      </c>
      <c r="Q175">
        <v>2.2315</v>
      </c>
      <c r="R175">
        <v>629.25</v>
      </c>
      <c r="S175">
        <v>60.47</v>
      </c>
      <c r="T175">
        <v>64.37</v>
      </c>
      <c r="U175">
        <v>1.8201000000000001</v>
      </c>
      <c r="AI175" s="26"/>
      <c r="AJ175" s="26"/>
      <c r="BN175"/>
      <c r="BO175"/>
    </row>
    <row r="176" spans="1:67" x14ac:dyDescent="0.25">
      <c r="H176">
        <v>3999</v>
      </c>
      <c r="N176">
        <v>470.25</v>
      </c>
      <c r="R176">
        <v>635.75</v>
      </c>
      <c r="T176">
        <v>65.2</v>
      </c>
      <c r="AI176" s="26"/>
      <c r="AJ176" s="26"/>
      <c r="BN176"/>
      <c r="BO176"/>
    </row>
    <row r="177" spans="1:67" x14ac:dyDescent="0.25">
      <c r="A177">
        <v>586.25</v>
      </c>
      <c r="B177">
        <v>603</v>
      </c>
      <c r="C177">
        <v>6.3324999999999996</v>
      </c>
      <c r="D177">
        <v>464.5</v>
      </c>
      <c r="E177">
        <v>1113.5</v>
      </c>
      <c r="F177">
        <v>318</v>
      </c>
      <c r="G177">
        <v>56.08</v>
      </c>
      <c r="H177">
        <v>4020</v>
      </c>
      <c r="I177">
        <v>8700</v>
      </c>
      <c r="J177">
        <v>2963</v>
      </c>
      <c r="K177">
        <v>7994</v>
      </c>
      <c r="L177">
        <v>2266</v>
      </c>
      <c r="M177">
        <v>8981</v>
      </c>
      <c r="N177">
        <v>466.25</v>
      </c>
      <c r="O177">
        <v>686.3</v>
      </c>
      <c r="P177">
        <v>1.6975</v>
      </c>
      <c r="Q177">
        <v>2.2262</v>
      </c>
      <c r="R177">
        <v>630.75</v>
      </c>
      <c r="S177">
        <v>60.71</v>
      </c>
      <c r="T177">
        <v>64.510000000000005</v>
      </c>
      <c r="U177">
        <v>1.8229</v>
      </c>
      <c r="AI177" s="26"/>
      <c r="AJ177" s="26"/>
      <c r="BN177"/>
      <c r="BO177"/>
    </row>
    <row r="178" spans="1:67" x14ac:dyDescent="0.25">
      <c r="A178">
        <v>595.75</v>
      </c>
      <c r="B178">
        <v>613.75</v>
      </c>
      <c r="C178">
        <v>6.39</v>
      </c>
      <c r="D178">
        <v>464</v>
      </c>
      <c r="E178">
        <v>1116.25</v>
      </c>
      <c r="F178">
        <v>316.5</v>
      </c>
      <c r="G178">
        <v>56.47</v>
      </c>
      <c r="H178">
        <v>4019</v>
      </c>
      <c r="I178">
        <v>8788</v>
      </c>
      <c r="J178">
        <v>2955</v>
      </c>
      <c r="K178">
        <v>8038</v>
      </c>
      <c r="L178">
        <v>2258</v>
      </c>
      <c r="M178">
        <v>9036</v>
      </c>
      <c r="N178">
        <v>469.75</v>
      </c>
      <c r="O178">
        <v>687.2</v>
      </c>
      <c r="P178">
        <v>1.72</v>
      </c>
      <c r="Q178">
        <v>2.2336999999999998</v>
      </c>
      <c r="R178">
        <v>634.25</v>
      </c>
      <c r="S178">
        <v>60.75</v>
      </c>
      <c r="T178">
        <v>64.52</v>
      </c>
      <c r="U178">
        <v>1.8234999999999999</v>
      </c>
      <c r="AI178" s="26"/>
      <c r="AJ178" s="26"/>
      <c r="BN178"/>
      <c r="BO178"/>
    </row>
    <row r="179" spans="1:67" x14ac:dyDescent="0.25">
      <c r="A179">
        <v>584.5</v>
      </c>
      <c r="B179">
        <v>599.5</v>
      </c>
      <c r="C179">
        <v>6.3125</v>
      </c>
      <c r="D179">
        <v>459.75</v>
      </c>
      <c r="E179">
        <v>1110.5</v>
      </c>
      <c r="F179">
        <v>314.8</v>
      </c>
      <c r="G179">
        <v>56.26</v>
      </c>
      <c r="H179">
        <v>4043</v>
      </c>
      <c r="I179">
        <v>8836</v>
      </c>
      <c r="J179">
        <v>2943</v>
      </c>
      <c r="K179">
        <v>8048</v>
      </c>
      <c r="L179">
        <v>2245</v>
      </c>
      <c r="M179">
        <v>9034</v>
      </c>
      <c r="N179">
        <v>468.5</v>
      </c>
      <c r="O179">
        <v>682.3</v>
      </c>
      <c r="P179">
        <v>1.7124999999999999</v>
      </c>
      <c r="Q179">
        <v>2.2816999999999998</v>
      </c>
      <c r="R179">
        <v>648.25</v>
      </c>
      <c r="S179">
        <v>62.27</v>
      </c>
      <c r="T179">
        <v>66.010000000000005</v>
      </c>
      <c r="U179">
        <v>1.8675999999999999</v>
      </c>
      <c r="AI179" s="26"/>
      <c r="AJ179" s="26"/>
      <c r="BN179"/>
      <c r="BO179"/>
    </row>
    <row r="180" spans="1:67" x14ac:dyDescent="0.25">
      <c r="A180">
        <v>579.5</v>
      </c>
      <c r="B180">
        <v>593.5</v>
      </c>
      <c r="C180">
        <v>6.2750000000000004</v>
      </c>
      <c r="D180">
        <v>458.25</v>
      </c>
      <c r="E180">
        <v>1106.5</v>
      </c>
      <c r="F180">
        <v>313.60000000000002</v>
      </c>
      <c r="G180">
        <v>56.42</v>
      </c>
      <c r="H180">
        <v>4047</v>
      </c>
      <c r="I180">
        <v>8878</v>
      </c>
      <c r="J180">
        <v>2929</v>
      </c>
      <c r="K180">
        <v>8056</v>
      </c>
      <c r="L180">
        <v>2229</v>
      </c>
      <c r="M180">
        <v>9054</v>
      </c>
      <c r="N180">
        <v>469.25</v>
      </c>
      <c r="O180">
        <v>682.6</v>
      </c>
      <c r="P180">
        <v>1.6924999999999999</v>
      </c>
      <c r="Q180">
        <v>2.2643</v>
      </c>
      <c r="R180">
        <v>639.75</v>
      </c>
      <c r="S180">
        <v>61.89</v>
      </c>
      <c r="T180">
        <v>65.64</v>
      </c>
      <c r="U180">
        <v>1.8555999999999999</v>
      </c>
      <c r="AI180" s="26"/>
      <c r="AJ180" s="26"/>
      <c r="BN180"/>
      <c r="BO180"/>
    </row>
    <row r="181" spans="1:67" x14ac:dyDescent="0.25">
      <c r="A181">
        <v>580</v>
      </c>
      <c r="B181">
        <v>591.75</v>
      </c>
      <c r="C181">
        <v>6.2925000000000004</v>
      </c>
      <c r="D181">
        <v>457.25</v>
      </c>
      <c r="E181">
        <v>1095.75</v>
      </c>
      <c r="F181">
        <v>311.3</v>
      </c>
      <c r="G181">
        <v>55.87</v>
      </c>
      <c r="H181">
        <v>4112</v>
      </c>
      <c r="I181">
        <v>8892</v>
      </c>
      <c r="J181">
        <v>2937</v>
      </c>
      <c r="K181">
        <v>8078</v>
      </c>
      <c r="L181">
        <v>2237</v>
      </c>
      <c r="M181">
        <v>9067</v>
      </c>
      <c r="N181">
        <v>471.25</v>
      </c>
      <c r="O181">
        <v>681.1</v>
      </c>
      <c r="P181">
        <v>1.6875</v>
      </c>
      <c r="Q181">
        <v>2.2698999999999998</v>
      </c>
      <c r="R181">
        <v>642</v>
      </c>
      <c r="S181">
        <v>62.11</v>
      </c>
      <c r="T181">
        <v>65.87</v>
      </c>
      <c r="U181">
        <v>1.8609</v>
      </c>
      <c r="AI181" s="26"/>
      <c r="AJ181" s="26"/>
      <c r="BN181"/>
      <c r="BO181"/>
    </row>
    <row r="182" spans="1:67" x14ac:dyDescent="0.25">
      <c r="A182">
        <v>580</v>
      </c>
      <c r="B182">
        <v>593.5</v>
      </c>
      <c r="C182">
        <v>6.3174999999999999</v>
      </c>
      <c r="D182">
        <v>457.75</v>
      </c>
      <c r="E182">
        <v>1094</v>
      </c>
      <c r="F182">
        <v>313.10000000000002</v>
      </c>
      <c r="G182">
        <v>54.74</v>
      </c>
      <c r="H182">
        <v>4109</v>
      </c>
      <c r="I182">
        <v>8926</v>
      </c>
      <c r="J182">
        <v>2930</v>
      </c>
      <c r="K182">
        <v>8028</v>
      </c>
      <c r="L182">
        <v>2235</v>
      </c>
      <c r="M182">
        <v>9062</v>
      </c>
      <c r="N182">
        <v>471.75</v>
      </c>
      <c r="O182">
        <v>676</v>
      </c>
      <c r="P182">
        <v>1.6775</v>
      </c>
      <c r="Q182">
        <v>2.2439</v>
      </c>
      <c r="R182">
        <v>639.25</v>
      </c>
      <c r="S182">
        <v>61.31</v>
      </c>
      <c r="T182">
        <v>65.09</v>
      </c>
      <c r="U182">
        <v>1.837</v>
      </c>
      <c r="AI182" s="26"/>
      <c r="AJ182" s="26"/>
      <c r="BN182"/>
      <c r="BO182"/>
    </row>
    <row r="183" spans="1:67" x14ac:dyDescent="0.25">
      <c r="A183">
        <v>585.75</v>
      </c>
      <c r="B183">
        <v>599.5</v>
      </c>
      <c r="C183">
        <v>6.33</v>
      </c>
      <c r="D183">
        <v>461</v>
      </c>
      <c r="E183">
        <v>1098.5</v>
      </c>
      <c r="F183">
        <v>314.2</v>
      </c>
      <c r="G183">
        <v>55.15</v>
      </c>
      <c r="H183">
        <v>4156</v>
      </c>
      <c r="I183">
        <v>9010</v>
      </c>
      <c r="J183">
        <v>2915</v>
      </c>
      <c r="K183">
        <v>8062</v>
      </c>
      <c r="L183">
        <v>2228</v>
      </c>
      <c r="M183">
        <v>9042</v>
      </c>
      <c r="N183">
        <v>471.25</v>
      </c>
      <c r="O183">
        <v>679.7</v>
      </c>
      <c r="P183">
        <v>1.66</v>
      </c>
      <c r="Q183">
        <v>2.2347999999999999</v>
      </c>
      <c r="R183">
        <v>632.75</v>
      </c>
      <c r="S183">
        <v>60.82</v>
      </c>
      <c r="T183">
        <v>64.58</v>
      </c>
      <c r="U183">
        <v>1.8192999999999999</v>
      </c>
      <c r="AI183" s="26"/>
      <c r="AJ183" s="26"/>
      <c r="BN183"/>
      <c r="BO183"/>
    </row>
    <row r="184" spans="1:67" x14ac:dyDescent="0.25">
      <c r="A184">
        <v>579</v>
      </c>
      <c r="B184">
        <v>593</v>
      </c>
      <c r="C184">
        <v>6.2850000000000001</v>
      </c>
      <c r="D184">
        <v>457.25</v>
      </c>
      <c r="E184">
        <v>1087.5</v>
      </c>
      <c r="F184">
        <v>308.8</v>
      </c>
      <c r="G184">
        <v>55.17</v>
      </c>
      <c r="H184">
        <v>4154</v>
      </c>
      <c r="I184">
        <v>9024</v>
      </c>
      <c r="J184">
        <v>2893</v>
      </c>
      <c r="K184">
        <v>8046</v>
      </c>
      <c r="L184">
        <v>2229</v>
      </c>
      <c r="M184">
        <v>9114</v>
      </c>
      <c r="N184">
        <v>467.75</v>
      </c>
      <c r="O184">
        <v>676.5</v>
      </c>
      <c r="P184">
        <v>1.655</v>
      </c>
      <c r="Q184">
        <v>2.2684000000000002</v>
      </c>
      <c r="R184">
        <v>633</v>
      </c>
      <c r="S184">
        <v>61.98</v>
      </c>
      <c r="T184">
        <v>65.8</v>
      </c>
      <c r="U184">
        <v>1.8494999999999999</v>
      </c>
      <c r="AI184" s="26"/>
      <c r="AJ184" s="26"/>
      <c r="BN184"/>
      <c r="BO184"/>
    </row>
    <row r="185" spans="1:67" x14ac:dyDescent="0.25">
      <c r="A185">
        <v>580.25</v>
      </c>
      <c r="B185">
        <v>596</v>
      </c>
      <c r="C185">
        <v>6.3</v>
      </c>
      <c r="D185">
        <v>456.75</v>
      </c>
      <c r="E185">
        <v>1079.25</v>
      </c>
      <c r="F185">
        <v>308.3</v>
      </c>
      <c r="G185">
        <v>54.33</v>
      </c>
      <c r="H185">
        <v>4126</v>
      </c>
      <c r="I185">
        <v>8952</v>
      </c>
      <c r="J185">
        <v>2896</v>
      </c>
      <c r="K185">
        <v>8006</v>
      </c>
      <c r="L185">
        <v>2234</v>
      </c>
      <c r="M185">
        <v>9023</v>
      </c>
      <c r="N185">
        <v>464.5</v>
      </c>
      <c r="O185">
        <v>669.4</v>
      </c>
      <c r="P185">
        <v>1.665</v>
      </c>
      <c r="Q185">
        <v>2.2235</v>
      </c>
      <c r="R185">
        <v>629.25</v>
      </c>
      <c r="S185">
        <v>60.54</v>
      </c>
      <c r="T185">
        <v>64.23</v>
      </c>
      <c r="U185">
        <v>1.8069</v>
      </c>
      <c r="AI185" s="26"/>
      <c r="AJ185" s="26"/>
      <c r="BN185"/>
      <c r="BO185"/>
    </row>
    <row r="186" spans="1:67" x14ac:dyDescent="0.25">
      <c r="A186">
        <v>578.75</v>
      </c>
      <c r="B186">
        <v>594.5</v>
      </c>
      <c r="C186">
        <v>6.32</v>
      </c>
      <c r="D186">
        <v>454.75</v>
      </c>
      <c r="E186">
        <v>1075.25</v>
      </c>
      <c r="F186">
        <v>310.39999999999998</v>
      </c>
      <c r="G186">
        <v>53.19</v>
      </c>
      <c r="I186">
        <v>8976</v>
      </c>
      <c r="J186">
        <v>2903</v>
      </c>
      <c r="K186">
        <v>8056</v>
      </c>
      <c r="L186">
        <v>2235</v>
      </c>
      <c r="M186">
        <v>9044</v>
      </c>
      <c r="N186">
        <v>461.25</v>
      </c>
      <c r="O186">
        <v>664.6</v>
      </c>
      <c r="P186">
        <v>1.65</v>
      </c>
      <c r="Q186">
        <v>2.1829999999999998</v>
      </c>
      <c r="R186">
        <v>621.5</v>
      </c>
      <c r="S186">
        <v>59.41</v>
      </c>
      <c r="T186">
        <v>63.12</v>
      </c>
      <c r="U186">
        <v>1.7749999999999999</v>
      </c>
      <c r="AI186" s="26"/>
      <c r="AJ186" s="26"/>
      <c r="BN186"/>
      <c r="BO186"/>
    </row>
    <row r="187" spans="1:67" x14ac:dyDescent="0.25">
      <c r="A187">
        <v>585.75</v>
      </c>
      <c r="B187">
        <v>601.25</v>
      </c>
      <c r="C187">
        <v>6.375</v>
      </c>
      <c r="D187">
        <v>456</v>
      </c>
      <c r="E187">
        <v>1079.75</v>
      </c>
      <c r="F187">
        <v>309.7</v>
      </c>
      <c r="G187">
        <v>53.55</v>
      </c>
      <c r="H187">
        <v>4115</v>
      </c>
      <c r="I187">
        <v>9056</v>
      </c>
      <c r="J187">
        <v>2915</v>
      </c>
      <c r="K187">
        <v>8222</v>
      </c>
      <c r="L187">
        <v>2242</v>
      </c>
      <c r="M187">
        <v>9217</v>
      </c>
      <c r="N187">
        <v>460.75</v>
      </c>
      <c r="O187">
        <v>665.1</v>
      </c>
      <c r="P187">
        <v>1.6525000000000001</v>
      </c>
      <c r="Q187">
        <v>2.2614999999999998</v>
      </c>
      <c r="R187">
        <v>651.75</v>
      </c>
      <c r="S187">
        <v>62.01</v>
      </c>
      <c r="T187">
        <v>65.81</v>
      </c>
      <c r="U187">
        <v>1.8403</v>
      </c>
      <c r="AI187" s="26"/>
      <c r="AJ187" s="26"/>
      <c r="BN187"/>
      <c r="BO187"/>
    </row>
    <row r="188" spans="1:67" x14ac:dyDescent="0.25">
      <c r="A188">
        <v>592</v>
      </c>
      <c r="B188">
        <v>605.25</v>
      </c>
      <c r="C188">
        <v>6.3949999999999996</v>
      </c>
      <c r="D188">
        <v>459</v>
      </c>
      <c r="E188">
        <v>1089.75</v>
      </c>
      <c r="F188">
        <v>312.8</v>
      </c>
      <c r="G188">
        <v>54.08</v>
      </c>
      <c r="H188">
        <v>4174</v>
      </c>
      <c r="I188">
        <v>9138</v>
      </c>
      <c r="J188">
        <v>2931</v>
      </c>
      <c r="K188">
        <v>8226</v>
      </c>
      <c r="L188">
        <v>2248</v>
      </c>
      <c r="M188">
        <v>9188</v>
      </c>
      <c r="N188">
        <v>464</v>
      </c>
      <c r="O188">
        <v>664.8</v>
      </c>
      <c r="P188">
        <v>1.655</v>
      </c>
      <c r="Q188">
        <v>2.2696000000000001</v>
      </c>
      <c r="R188">
        <v>644</v>
      </c>
      <c r="S188">
        <v>62.1</v>
      </c>
      <c r="T188">
        <v>65.88</v>
      </c>
      <c r="U188">
        <v>1.841</v>
      </c>
      <c r="AI188" s="26"/>
      <c r="AJ188" s="26"/>
      <c r="BN188"/>
      <c r="BO188"/>
    </row>
    <row r="189" spans="1:67" x14ac:dyDescent="0.25">
      <c r="A189">
        <v>587.25</v>
      </c>
      <c r="B189">
        <v>600.25</v>
      </c>
      <c r="C189">
        <v>6.3250000000000002</v>
      </c>
      <c r="D189">
        <v>457.75</v>
      </c>
      <c r="E189">
        <v>1090</v>
      </c>
      <c r="F189">
        <v>313.7</v>
      </c>
      <c r="G189">
        <v>54.29</v>
      </c>
      <c r="H189">
        <v>4140</v>
      </c>
      <c r="I189">
        <v>9056</v>
      </c>
      <c r="J189">
        <v>2915</v>
      </c>
      <c r="K189">
        <v>8190</v>
      </c>
      <c r="L189">
        <v>2228</v>
      </c>
      <c r="M189">
        <v>9187</v>
      </c>
      <c r="N189">
        <v>466</v>
      </c>
      <c r="O189">
        <v>666.8</v>
      </c>
      <c r="P189">
        <v>1.6625000000000001</v>
      </c>
      <c r="Q189">
        <v>2.2294</v>
      </c>
      <c r="R189">
        <v>630.75</v>
      </c>
      <c r="S189">
        <v>60.85</v>
      </c>
      <c r="T189">
        <v>64.58</v>
      </c>
      <c r="U189">
        <v>1.8109</v>
      </c>
      <c r="AI189" s="26"/>
      <c r="AJ189" s="26"/>
      <c r="BN189"/>
      <c r="BO189"/>
    </row>
    <row r="190" spans="1:67" x14ac:dyDescent="0.25">
      <c r="A190">
        <v>577</v>
      </c>
      <c r="B190">
        <v>590.25</v>
      </c>
      <c r="C190">
        <v>6.3150000000000004</v>
      </c>
      <c r="D190">
        <v>454.25</v>
      </c>
      <c r="E190">
        <v>1082.75</v>
      </c>
      <c r="F190">
        <v>310</v>
      </c>
      <c r="G190">
        <v>54.41</v>
      </c>
      <c r="H190">
        <v>4146</v>
      </c>
      <c r="I190">
        <v>8980</v>
      </c>
      <c r="J190">
        <v>2910</v>
      </c>
      <c r="K190">
        <v>8092</v>
      </c>
      <c r="L190">
        <v>2223</v>
      </c>
      <c r="M190">
        <v>9152</v>
      </c>
      <c r="N190">
        <v>464</v>
      </c>
      <c r="O190">
        <v>664</v>
      </c>
      <c r="P190">
        <v>1.6575</v>
      </c>
      <c r="Q190">
        <v>2.2107000000000001</v>
      </c>
      <c r="R190">
        <v>624.75</v>
      </c>
      <c r="S190">
        <v>60.5</v>
      </c>
      <c r="T190">
        <v>64.2</v>
      </c>
      <c r="U190">
        <v>1.7939000000000001</v>
      </c>
      <c r="AI190" s="26"/>
      <c r="AJ190" s="26"/>
      <c r="BN190"/>
      <c r="BO190"/>
    </row>
    <row r="191" spans="1:67" x14ac:dyDescent="0.25">
      <c r="A191">
        <v>579.25</v>
      </c>
      <c r="B191">
        <v>589.5</v>
      </c>
      <c r="C191">
        <v>6.2874999999999996</v>
      </c>
      <c r="D191">
        <v>455</v>
      </c>
      <c r="E191">
        <v>1079</v>
      </c>
      <c r="F191">
        <v>309.5</v>
      </c>
      <c r="G191">
        <v>53.98</v>
      </c>
      <c r="H191">
        <v>4120</v>
      </c>
      <c r="I191">
        <v>8904</v>
      </c>
      <c r="J191">
        <v>2913</v>
      </c>
      <c r="K191">
        <v>8056</v>
      </c>
      <c r="L191">
        <v>2226</v>
      </c>
      <c r="M191">
        <v>9074</v>
      </c>
      <c r="N191">
        <v>464</v>
      </c>
      <c r="O191">
        <v>662.3</v>
      </c>
      <c r="P191">
        <v>1.6825000000000001</v>
      </c>
      <c r="Q191">
        <v>2.1848000000000001</v>
      </c>
      <c r="R191">
        <v>619.25</v>
      </c>
      <c r="S191">
        <v>59.58</v>
      </c>
      <c r="T191">
        <v>63.28</v>
      </c>
      <c r="U191">
        <v>1.7638</v>
      </c>
      <c r="AI191" s="26"/>
      <c r="AJ191" s="26"/>
      <c r="BN191"/>
      <c r="BO191"/>
    </row>
    <row r="192" spans="1:67" x14ac:dyDescent="0.25">
      <c r="A192">
        <v>584.25</v>
      </c>
      <c r="B192">
        <v>598.5</v>
      </c>
      <c r="C192">
        <v>6.3475000000000001</v>
      </c>
      <c r="D192">
        <v>455.25</v>
      </c>
      <c r="E192">
        <v>1082</v>
      </c>
      <c r="F192">
        <v>312.5</v>
      </c>
      <c r="G192">
        <v>53.95</v>
      </c>
      <c r="H192">
        <v>4120</v>
      </c>
      <c r="I192">
        <v>8818</v>
      </c>
      <c r="J192">
        <v>2905</v>
      </c>
      <c r="K192">
        <v>7976</v>
      </c>
      <c r="L192">
        <v>2217</v>
      </c>
      <c r="M192">
        <v>8942</v>
      </c>
      <c r="N192">
        <v>467.25</v>
      </c>
      <c r="O192">
        <v>669.5</v>
      </c>
      <c r="P192">
        <v>1.655</v>
      </c>
      <c r="Q192">
        <v>2.1892999999999998</v>
      </c>
      <c r="R192">
        <v>621.75</v>
      </c>
      <c r="S192">
        <v>59.62</v>
      </c>
      <c r="T192">
        <v>63.29</v>
      </c>
      <c r="U192">
        <v>1.7706</v>
      </c>
      <c r="AI192" s="26"/>
      <c r="AJ192" s="26"/>
      <c r="BN192"/>
      <c r="BO192"/>
    </row>
    <row r="193" spans="1:67" x14ac:dyDescent="0.25">
      <c r="A193">
        <v>573.25</v>
      </c>
      <c r="B193">
        <v>584</v>
      </c>
      <c r="C193">
        <v>6.3174999999999999</v>
      </c>
      <c r="D193">
        <v>451.75</v>
      </c>
      <c r="E193">
        <v>1077.25</v>
      </c>
      <c r="F193">
        <v>310.39999999999998</v>
      </c>
      <c r="G193">
        <v>53.81</v>
      </c>
      <c r="H193">
        <v>4153</v>
      </c>
      <c r="I193">
        <v>8810</v>
      </c>
      <c r="J193">
        <v>2900</v>
      </c>
      <c r="K193">
        <v>7958</v>
      </c>
      <c r="L193">
        <v>2212</v>
      </c>
      <c r="M193">
        <v>8931</v>
      </c>
      <c r="N193">
        <v>463.75</v>
      </c>
      <c r="O193">
        <v>661.5</v>
      </c>
      <c r="P193">
        <v>1.6425000000000001</v>
      </c>
      <c r="Q193">
        <v>2.1642000000000001</v>
      </c>
      <c r="R193">
        <v>616.75</v>
      </c>
      <c r="S193">
        <v>58.57</v>
      </c>
      <c r="T193">
        <v>62.24</v>
      </c>
      <c r="U193">
        <v>1.7445999999999999</v>
      </c>
      <c r="AI193" s="26"/>
      <c r="AJ193" s="26"/>
      <c r="BN193"/>
      <c r="BO193"/>
    </row>
    <row r="194" spans="1:67" x14ac:dyDescent="0.25">
      <c r="A194">
        <v>565.75</v>
      </c>
      <c r="B194">
        <v>578.75</v>
      </c>
      <c r="C194">
        <v>6.2324999999999999</v>
      </c>
      <c r="D194">
        <v>449.75</v>
      </c>
      <c r="E194">
        <v>1074.5</v>
      </c>
      <c r="F194">
        <v>307.89999999999998</v>
      </c>
      <c r="G194">
        <v>53.95</v>
      </c>
      <c r="H194">
        <v>4128</v>
      </c>
      <c r="I194">
        <v>8708</v>
      </c>
      <c r="J194">
        <v>2901</v>
      </c>
      <c r="K194">
        <v>7910</v>
      </c>
      <c r="L194">
        <v>2211</v>
      </c>
      <c r="M194">
        <v>8881</v>
      </c>
      <c r="N194">
        <v>464.75</v>
      </c>
      <c r="O194">
        <v>664.3</v>
      </c>
      <c r="P194">
        <v>1.635</v>
      </c>
      <c r="Q194">
        <v>2.1926999999999999</v>
      </c>
      <c r="R194">
        <v>623.25</v>
      </c>
      <c r="S194">
        <v>59.43</v>
      </c>
      <c r="T194">
        <v>63.12</v>
      </c>
      <c r="U194">
        <v>1.7737000000000001</v>
      </c>
      <c r="AI194" s="26"/>
      <c r="AJ194" s="26"/>
      <c r="BN194"/>
      <c r="BO194"/>
    </row>
    <row r="195" spans="1:67" x14ac:dyDescent="0.25">
      <c r="A195">
        <v>568.25</v>
      </c>
      <c r="B195">
        <v>582.75</v>
      </c>
      <c r="C195">
        <v>6.22</v>
      </c>
      <c r="D195">
        <v>450.5</v>
      </c>
      <c r="E195">
        <v>1064</v>
      </c>
      <c r="F195">
        <v>309.10000000000002</v>
      </c>
      <c r="G195">
        <v>52.65</v>
      </c>
      <c r="H195">
        <v>4076</v>
      </c>
      <c r="I195">
        <v>8638</v>
      </c>
      <c r="J195">
        <v>2900</v>
      </c>
      <c r="K195">
        <v>7882</v>
      </c>
      <c r="L195">
        <v>2213</v>
      </c>
      <c r="M195">
        <v>8858</v>
      </c>
      <c r="N195">
        <v>460.75</v>
      </c>
      <c r="O195">
        <v>656.8</v>
      </c>
      <c r="P195">
        <v>1.6425000000000001</v>
      </c>
      <c r="Q195">
        <v>2.1718000000000002</v>
      </c>
      <c r="R195">
        <v>617</v>
      </c>
      <c r="S195">
        <v>59.03</v>
      </c>
      <c r="T195">
        <v>62.69</v>
      </c>
      <c r="U195">
        <v>1.7533000000000001</v>
      </c>
      <c r="AI195" s="26"/>
      <c r="AJ195" s="26"/>
      <c r="BN195"/>
      <c r="BO195"/>
    </row>
    <row r="196" spans="1:67" x14ac:dyDescent="0.25">
      <c r="H196">
        <v>4057</v>
      </c>
      <c r="I196">
        <v>8634</v>
      </c>
      <c r="J196">
        <v>2898</v>
      </c>
      <c r="K196">
        <v>7862</v>
      </c>
      <c r="L196">
        <v>2225</v>
      </c>
      <c r="M196">
        <v>8868</v>
      </c>
      <c r="N196">
        <v>457.25</v>
      </c>
      <c r="O196">
        <v>655.5</v>
      </c>
      <c r="R196">
        <v>610.25</v>
      </c>
      <c r="T196">
        <v>61.8</v>
      </c>
      <c r="AI196" s="26"/>
      <c r="AJ196" s="26"/>
      <c r="BN196"/>
      <c r="BO196"/>
    </row>
    <row r="197" spans="1:67" x14ac:dyDescent="0.25">
      <c r="A197">
        <v>573.75</v>
      </c>
      <c r="B197">
        <v>585.5</v>
      </c>
      <c r="C197">
        <v>6.2374999999999998</v>
      </c>
      <c r="D197">
        <v>449.75</v>
      </c>
      <c r="E197">
        <v>1069</v>
      </c>
      <c r="F197">
        <v>309.2</v>
      </c>
      <c r="G197">
        <v>52.7</v>
      </c>
      <c r="H197">
        <v>4059</v>
      </c>
      <c r="N197">
        <v>457.75</v>
      </c>
      <c r="O197">
        <v>654.1</v>
      </c>
      <c r="P197">
        <v>1.6274999999999999</v>
      </c>
      <c r="Q197">
        <v>2.1381999999999999</v>
      </c>
      <c r="R197">
        <v>614.5</v>
      </c>
      <c r="S197">
        <v>58.37</v>
      </c>
      <c r="T197">
        <v>62.05</v>
      </c>
      <c r="U197">
        <v>1.7319</v>
      </c>
      <c r="AI197" s="26"/>
      <c r="AJ197" s="26"/>
      <c r="BN197"/>
      <c r="BO197"/>
    </row>
    <row r="198" spans="1:67" x14ac:dyDescent="0.25">
      <c r="A198">
        <v>567</v>
      </c>
      <c r="B198">
        <v>576.75</v>
      </c>
      <c r="C198">
        <v>6.2175000000000002</v>
      </c>
      <c r="D198">
        <v>446.75</v>
      </c>
      <c r="E198">
        <v>1064.25</v>
      </c>
      <c r="F198">
        <v>306.8</v>
      </c>
      <c r="G198">
        <v>52.88</v>
      </c>
      <c r="H198">
        <v>3971</v>
      </c>
      <c r="N198">
        <v>457</v>
      </c>
      <c r="O198">
        <v>650.4</v>
      </c>
      <c r="P198">
        <v>1.615</v>
      </c>
      <c r="Q198">
        <v>2.1295999999999999</v>
      </c>
      <c r="R198">
        <v>608</v>
      </c>
      <c r="S198">
        <v>58.16</v>
      </c>
      <c r="T198">
        <v>61.83</v>
      </c>
      <c r="U198">
        <v>1.7246999999999999</v>
      </c>
      <c r="AI198" s="26"/>
      <c r="AJ198" s="26"/>
      <c r="BN198"/>
      <c r="BO198"/>
    </row>
    <row r="199" spans="1:67" x14ac:dyDescent="0.25">
      <c r="A199">
        <v>569.25</v>
      </c>
      <c r="B199">
        <v>581</v>
      </c>
      <c r="C199">
        <v>6.26</v>
      </c>
      <c r="D199">
        <v>447.75</v>
      </c>
      <c r="E199">
        <v>1058</v>
      </c>
      <c r="F199">
        <v>309.7</v>
      </c>
      <c r="G199">
        <v>51.29</v>
      </c>
      <c r="H199">
        <v>4052</v>
      </c>
      <c r="N199">
        <v>456.75</v>
      </c>
      <c r="O199">
        <v>646.6</v>
      </c>
      <c r="P199">
        <v>1.615</v>
      </c>
      <c r="Q199">
        <v>2.19</v>
      </c>
      <c r="R199">
        <v>622.25</v>
      </c>
      <c r="S199">
        <v>60.14</v>
      </c>
      <c r="T199">
        <v>63.82</v>
      </c>
      <c r="U199">
        <v>1.7729999999999999</v>
      </c>
      <c r="AI199" s="26"/>
      <c r="AJ199" s="26"/>
      <c r="BN199"/>
      <c r="BO199"/>
    </row>
    <row r="200" spans="1:67" x14ac:dyDescent="0.25">
      <c r="A200">
        <v>568</v>
      </c>
      <c r="B200">
        <v>579.5</v>
      </c>
      <c r="C200">
        <v>6.24</v>
      </c>
      <c r="D200">
        <v>445.75</v>
      </c>
      <c r="E200">
        <v>1058.25</v>
      </c>
      <c r="F200">
        <v>308.89999999999998</v>
      </c>
      <c r="G200">
        <v>51.4</v>
      </c>
      <c r="H200">
        <v>4058</v>
      </c>
      <c r="N200">
        <v>459.25</v>
      </c>
      <c r="O200">
        <v>650.70000000000005</v>
      </c>
      <c r="P200">
        <v>1.6174999999999999</v>
      </c>
      <c r="Q200">
        <v>2.157</v>
      </c>
      <c r="R200">
        <v>616.75</v>
      </c>
      <c r="S200">
        <v>59.4</v>
      </c>
      <c r="T200">
        <v>63</v>
      </c>
      <c r="U200">
        <v>1.7529999999999999</v>
      </c>
      <c r="AI200" s="26"/>
      <c r="AJ200" s="26"/>
      <c r="BN200"/>
      <c r="BO200"/>
    </row>
    <row r="201" spans="1:67" x14ac:dyDescent="0.25">
      <c r="A201">
        <v>568.75</v>
      </c>
      <c r="B201">
        <v>586</v>
      </c>
      <c r="C201">
        <v>6.2549999999999999</v>
      </c>
      <c r="D201">
        <v>451.5</v>
      </c>
      <c r="E201">
        <v>1067</v>
      </c>
      <c r="F201">
        <v>314.3</v>
      </c>
      <c r="G201">
        <v>50.51</v>
      </c>
      <c r="H201">
        <v>4086</v>
      </c>
      <c r="N201">
        <v>454.5</v>
      </c>
      <c r="O201">
        <v>642</v>
      </c>
      <c r="P201">
        <v>1.6325000000000001</v>
      </c>
      <c r="Q201">
        <v>2.1118000000000001</v>
      </c>
      <c r="R201">
        <v>601</v>
      </c>
      <c r="S201">
        <v>58.4</v>
      </c>
      <c r="T201">
        <v>62.01</v>
      </c>
      <c r="U201">
        <v>1.7218</v>
      </c>
      <c r="AI201" s="26"/>
      <c r="AJ201" s="26"/>
      <c r="BN201"/>
      <c r="BO201"/>
    </row>
    <row r="202" spans="1:67" x14ac:dyDescent="0.25">
      <c r="A202">
        <v>572.75</v>
      </c>
      <c r="B202">
        <v>590.75</v>
      </c>
      <c r="C202">
        <v>6.25</v>
      </c>
      <c r="D202">
        <v>464</v>
      </c>
      <c r="E202">
        <v>1071.75</v>
      </c>
      <c r="F202">
        <v>318.8</v>
      </c>
      <c r="G202">
        <v>50.08</v>
      </c>
      <c r="H202">
        <v>4026</v>
      </c>
      <c r="N202">
        <v>457.75</v>
      </c>
      <c r="O202">
        <v>642.9</v>
      </c>
      <c r="P202">
        <v>1.6725000000000001</v>
      </c>
      <c r="Q202">
        <v>2.0977999999999999</v>
      </c>
      <c r="R202">
        <v>605.75</v>
      </c>
      <c r="S202">
        <v>58.09</v>
      </c>
      <c r="T202">
        <v>61.7</v>
      </c>
      <c r="U202">
        <v>1.7124999999999999</v>
      </c>
      <c r="AI202" s="26"/>
      <c r="AJ202" s="26"/>
      <c r="BN202"/>
      <c r="BO202"/>
    </row>
    <row r="203" spans="1:67" x14ac:dyDescent="0.25">
      <c r="A203">
        <v>573.25</v>
      </c>
      <c r="B203">
        <v>591.25</v>
      </c>
      <c r="C203">
        <v>6.2949999999999999</v>
      </c>
      <c r="D203">
        <v>464.5</v>
      </c>
      <c r="E203">
        <v>1073</v>
      </c>
      <c r="F203">
        <v>317.2</v>
      </c>
      <c r="G203">
        <v>49.91</v>
      </c>
      <c r="H203">
        <v>4023</v>
      </c>
      <c r="N203">
        <v>455</v>
      </c>
      <c r="O203">
        <v>646.70000000000005</v>
      </c>
      <c r="P203">
        <v>1.66</v>
      </c>
      <c r="Q203">
        <v>2.0808</v>
      </c>
      <c r="R203">
        <v>588.5</v>
      </c>
      <c r="S203">
        <v>57.27</v>
      </c>
      <c r="T203">
        <v>60.84</v>
      </c>
      <c r="U203">
        <v>1.6910000000000001</v>
      </c>
      <c r="AI203" s="26"/>
      <c r="AJ203" s="26"/>
      <c r="BN203"/>
      <c r="BO203"/>
    </row>
    <row r="204" spans="1:67" x14ac:dyDescent="0.25">
      <c r="A204">
        <v>571.75</v>
      </c>
      <c r="B204">
        <v>590.75</v>
      </c>
      <c r="C204">
        <v>6.2874999999999996</v>
      </c>
      <c r="D204">
        <v>463.75</v>
      </c>
      <c r="E204">
        <v>1075.25</v>
      </c>
      <c r="F204">
        <v>319.8</v>
      </c>
      <c r="G204">
        <v>49.79</v>
      </c>
      <c r="H204">
        <v>4006</v>
      </c>
      <c r="N204">
        <v>453.75</v>
      </c>
      <c r="O204">
        <v>640.4</v>
      </c>
      <c r="P204">
        <v>1.655</v>
      </c>
      <c r="Q204">
        <v>2.0352000000000001</v>
      </c>
      <c r="R204">
        <v>584</v>
      </c>
      <c r="S204">
        <v>55.85</v>
      </c>
      <c r="T204">
        <v>59.38</v>
      </c>
      <c r="U204">
        <v>1.6474</v>
      </c>
      <c r="AI204" s="26"/>
      <c r="AJ204" s="26"/>
      <c r="BN204"/>
      <c r="BO204"/>
    </row>
    <row r="205" spans="1:67" x14ac:dyDescent="0.25">
      <c r="A205">
        <v>565.75</v>
      </c>
      <c r="B205">
        <v>580.25</v>
      </c>
      <c r="C205">
        <v>6.2525000000000004</v>
      </c>
      <c r="D205">
        <v>461.75</v>
      </c>
      <c r="E205">
        <v>1067.75</v>
      </c>
      <c r="F205">
        <v>315.60000000000002</v>
      </c>
      <c r="G205">
        <v>49.87</v>
      </c>
      <c r="H205">
        <v>3968</v>
      </c>
      <c r="N205">
        <v>454.25</v>
      </c>
      <c r="O205">
        <v>635.6</v>
      </c>
      <c r="P205">
        <v>1.665</v>
      </c>
      <c r="Q205">
        <v>2.0527000000000002</v>
      </c>
      <c r="R205">
        <v>590.75</v>
      </c>
      <c r="S205">
        <v>56.56</v>
      </c>
      <c r="T205">
        <v>59.96</v>
      </c>
      <c r="U205">
        <v>1.6557999999999999</v>
      </c>
      <c r="AI205" s="26"/>
      <c r="AJ205" s="26"/>
      <c r="BN205"/>
      <c r="BO205"/>
    </row>
    <row r="206" spans="1:67" x14ac:dyDescent="0.25">
      <c r="A206">
        <v>568.25</v>
      </c>
      <c r="B206">
        <v>581.25</v>
      </c>
      <c r="C206">
        <v>6.2850000000000001</v>
      </c>
      <c r="D206">
        <v>463.25</v>
      </c>
      <c r="E206">
        <v>1075.5</v>
      </c>
      <c r="F206">
        <v>316.7</v>
      </c>
      <c r="G206">
        <v>50.3</v>
      </c>
      <c r="H206">
        <v>4008</v>
      </c>
      <c r="N206">
        <v>449.25</v>
      </c>
      <c r="O206">
        <v>637.70000000000005</v>
      </c>
      <c r="P206">
        <v>1.6825000000000001</v>
      </c>
      <c r="Q206">
        <v>2.0830000000000002</v>
      </c>
      <c r="R206">
        <v>592.75</v>
      </c>
      <c r="S206">
        <v>57.51</v>
      </c>
      <c r="T206">
        <v>60.78</v>
      </c>
      <c r="U206">
        <v>1.6767000000000001</v>
      </c>
      <c r="AI206" s="26"/>
      <c r="AJ206" s="26"/>
      <c r="BN206"/>
      <c r="BO206"/>
    </row>
    <row r="207" spans="1:67" x14ac:dyDescent="0.25">
      <c r="A207">
        <v>564.75</v>
      </c>
      <c r="B207">
        <v>577.25</v>
      </c>
      <c r="C207">
        <v>6.3049999999999997</v>
      </c>
      <c r="D207">
        <v>458.5</v>
      </c>
      <c r="E207">
        <v>1062.75</v>
      </c>
      <c r="F207">
        <v>313.7</v>
      </c>
      <c r="G207">
        <v>49.71</v>
      </c>
      <c r="H207">
        <v>3973</v>
      </c>
      <c r="N207">
        <v>440</v>
      </c>
      <c r="O207">
        <v>634.1</v>
      </c>
      <c r="P207">
        <v>1.6675</v>
      </c>
      <c r="Q207">
        <v>2.0596000000000001</v>
      </c>
      <c r="R207">
        <v>585</v>
      </c>
      <c r="S207">
        <v>57.01</v>
      </c>
      <c r="T207">
        <v>60.36</v>
      </c>
      <c r="U207">
        <v>1.6579999999999999</v>
      </c>
      <c r="AI207" s="26"/>
      <c r="AJ207" s="26"/>
      <c r="BN207"/>
      <c r="BO207"/>
    </row>
    <row r="208" spans="1:67" x14ac:dyDescent="0.25">
      <c r="A208">
        <v>564.75</v>
      </c>
      <c r="B208">
        <v>576.75</v>
      </c>
      <c r="C208">
        <v>6.3324999999999996</v>
      </c>
      <c r="D208">
        <v>460.5</v>
      </c>
      <c r="E208">
        <v>1064.5</v>
      </c>
      <c r="F208">
        <v>316.89999999999998</v>
      </c>
      <c r="G208">
        <v>49.06</v>
      </c>
      <c r="H208">
        <v>4018</v>
      </c>
      <c r="N208">
        <v>446.5</v>
      </c>
      <c r="O208">
        <v>632</v>
      </c>
      <c r="P208">
        <v>1.67</v>
      </c>
      <c r="Q208">
        <v>2.0575999999999999</v>
      </c>
      <c r="R208">
        <v>595.25</v>
      </c>
      <c r="S208">
        <v>56.92</v>
      </c>
      <c r="T208">
        <v>60.23</v>
      </c>
      <c r="U208">
        <v>1.6560999999999999</v>
      </c>
      <c r="AI208" s="26"/>
      <c r="AJ208" s="26"/>
      <c r="BN208"/>
      <c r="BO208"/>
    </row>
    <row r="209" spans="1:67" x14ac:dyDescent="0.25">
      <c r="A209">
        <v>567.5</v>
      </c>
      <c r="B209">
        <v>583.25</v>
      </c>
      <c r="C209">
        <v>6.375</v>
      </c>
      <c r="D209">
        <v>461</v>
      </c>
      <c r="E209">
        <v>1074.25</v>
      </c>
      <c r="F209">
        <v>318.3</v>
      </c>
      <c r="G209">
        <v>49.83</v>
      </c>
      <c r="H209">
        <v>4025</v>
      </c>
      <c r="N209">
        <v>446</v>
      </c>
      <c r="O209">
        <v>637.5</v>
      </c>
      <c r="P209">
        <v>1.6775</v>
      </c>
      <c r="Q209">
        <v>2.0750999999999999</v>
      </c>
      <c r="R209">
        <v>595.5</v>
      </c>
      <c r="S209">
        <v>57.42</v>
      </c>
      <c r="T209">
        <v>60.78</v>
      </c>
      <c r="U209">
        <v>1.6707000000000001</v>
      </c>
      <c r="AI209" s="26"/>
      <c r="AJ209" s="26"/>
      <c r="BN209"/>
      <c r="BO209"/>
    </row>
    <row r="210" spans="1:67" x14ac:dyDescent="0.25">
      <c r="A210">
        <v>570.25</v>
      </c>
      <c r="B210">
        <v>588</v>
      </c>
      <c r="C210">
        <v>6.3775000000000004</v>
      </c>
      <c r="D210">
        <v>463</v>
      </c>
      <c r="E210">
        <v>1075.75</v>
      </c>
      <c r="F210">
        <v>318.10000000000002</v>
      </c>
      <c r="G210">
        <v>49.74</v>
      </c>
      <c r="H210">
        <v>3995</v>
      </c>
      <c r="N210">
        <v>445</v>
      </c>
      <c r="O210">
        <v>631.9</v>
      </c>
      <c r="P210">
        <v>1.6725000000000001</v>
      </c>
      <c r="Q210">
        <v>2.0706000000000002</v>
      </c>
      <c r="R210">
        <v>595</v>
      </c>
      <c r="S210">
        <v>57.49</v>
      </c>
      <c r="T210">
        <v>60.9</v>
      </c>
      <c r="U210">
        <v>1.6707000000000001</v>
      </c>
      <c r="AI210" s="26"/>
      <c r="AJ210" s="26"/>
      <c r="BN210"/>
      <c r="BO210"/>
    </row>
    <row r="211" spans="1:67" x14ac:dyDescent="0.25">
      <c r="A211">
        <v>574.5</v>
      </c>
      <c r="B211">
        <v>593</v>
      </c>
      <c r="C211">
        <v>6.37</v>
      </c>
      <c r="D211">
        <v>468.5</v>
      </c>
      <c r="E211">
        <v>1082.25</v>
      </c>
      <c r="F211">
        <v>321.3</v>
      </c>
      <c r="G211">
        <v>49.65</v>
      </c>
      <c r="H211">
        <v>4020</v>
      </c>
      <c r="P211">
        <v>1.6875</v>
      </c>
      <c r="Q211">
        <v>2.0470000000000002</v>
      </c>
      <c r="R211">
        <v>592.25</v>
      </c>
      <c r="S211">
        <v>56.58</v>
      </c>
      <c r="T211">
        <v>60.02</v>
      </c>
      <c r="U211">
        <v>1.6485000000000001</v>
      </c>
      <c r="AI211" s="26"/>
      <c r="AJ211" s="26"/>
      <c r="BN211"/>
      <c r="BO211"/>
    </row>
    <row r="212" spans="1:67" x14ac:dyDescent="0.25">
      <c r="A212">
        <v>575.5</v>
      </c>
      <c r="B212">
        <v>592.75</v>
      </c>
      <c r="C212">
        <v>6.375</v>
      </c>
      <c r="D212">
        <v>467.75</v>
      </c>
      <c r="E212">
        <v>1084</v>
      </c>
      <c r="F212">
        <v>321.3</v>
      </c>
      <c r="G212">
        <v>49.85</v>
      </c>
      <c r="H212">
        <v>3995</v>
      </c>
      <c r="N212">
        <v>445.5</v>
      </c>
      <c r="O212">
        <v>640.20000000000005</v>
      </c>
      <c r="P212">
        <v>1.6875</v>
      </c>
      <c r="Q212">
        <v>2.0794999999999999</v>
      </c>
      <c r="R212">
        <v>603</v>
      </c>
      <c r="S212">
        <v>57.8</v>
      </c>
      <c r="T212">
        <v>61.27</v>
      </c>
      <c r="U212">
        <v>1.6839</v>
      </c>
      <c r="AI212" s="26"/>
      <c r="AJ212" s="26"/>
      <c r="BN212"/>
      <c r="BO212"/>
    </row>
    <row r="213" spans="1:67" x14ac:dyDescent="0.25">
      <c r="A213">
        <v>570</v>
      </c>
      <c r="B213">
        <v>587</v>
      </c>
      <c r="C213">
        <v>6.3650000000000002</v>
      </c>
      <c r="D213">
        <v>465</v>
      </c>
      <c r="E213">
        <v>1073</v>
      </c>
      <c r="F213">
        <v>318.2</v>
      </c>
      <c r="G213">
        <v>49.22</v>
      </c>
      <c r="H213">
        <v>4004</v>
      </c>
      <c r="N213">
        <v>448.25</v>
      </c>
      <c r="O213">
        <v>632.29999999999995</v>
      </c>
      <c r="P213">
        <v>1.6625000000000001</v>
      </c>
      <c r="Q213">
        <v>2.0920999999999998</v>
      </c>
      <c r="R213">
        <v>598.5</v>
      </c>
      <c r="S213">
        <v>57.7</v>
      </c>
      <c r="T213">
        <v>61.15</v>
      </c>
      <c r="U213">
        <v>1.68</v>
      </c>
      <c r="AI213" s="26"/>
      <c r="AJ213" s="26"/>
      <c r="BN213"/>
      <c r="BO213"/>
    </row>
    <row r="214" spans="1:67" x14ac:dyDescent="0.25">
      <c r="A214">
        <v>568.5</v>
      </c>
      <c r="B214">
        <v>581.25</v>
      </c>
      <c r="C214">
        <v>6.375</v>
      </c>
      <c r="D214">
        <v>464.5</v>
      </c>
      <c r="E214">
        <v>1072.25</v>
      </c>
      <c r="F214">
        <v>317</v>
      </c>
      <c r="G214">
        <v>49.57</v>
      </c>
      <c r="H214">
        <v>3989</v>
      </c>
      <c r="N214">
        <v>451</v>
      </c>
      <c r="O214">
        <v>639.20000000000005</v>
      </c>
      <c r="P214">
        <v>1.665</v>
      </c>
      <c r="Q214">
        <v>2.0792000000000002</v>
      </c>
      <c r="R214">
        <v>594.25</v>
      </c>
      <c r="S214">
        <v>57.5</v>
      </c>
      <c r="T214">
        <v>60.97</v>
      </c>
      <c r="U214">
        <v>1.6739999999999999</v>
      </c>
      <c r="AI214" s="26"/>
      <c r="AJ214" s="26"/>
      <c r="BN214"/>
      <c r="BO214"/>
    </row>
    <row r="215" spans="1:67" x14ac:dyDescent="0.25">
      <c r="A215">
        <v>563</v>
      </c>
      <c r="B215">
        <v>575</v>
      </c>
      <c r="C215">
        <v>6.3475000000000001</v>
      </c>
      <c r="D215">
        <v>462</v>
      </c>
      <c r="E215">
        <v>1067.75</v>
      </c>
      <c r="F215">
        <v>316.10000000000002</v>
      </c>
      <c r="G215">
        <v>48.94</v>
      </c>
      <c r="H215">
        <v>3911</v>
      </c>
      <c r="N215">
        <v>448</v>
      </c>
      <c r="O215">
        <v>624.79999999999995</v>
      </c>
      <c r="P215">
        <v>1.6675</v>
      </c>
      <c r="Q215">
        <v>2.0491000000000001</v>
      </c>
      <c r="R215">
        <v>586.75</v>
      </c>
      <c r="S215">
        <v>56.44</v>
      </c>
      <c r="T215">
        <v>59.94</v>
      </c>
      <c r="U215">
        <v>1.6455</v>
      </c>
      <c r="AI215" s="26"/>
      <c r="AJ215" s="26"/>
      <c r="BN215"/>
      <c r="BO215"/>
    </row>
    <row r="216" spans="1:67" x14ac:dyDescent="0.25">
      <c r="A216">
        <v>562</v>
      </c>
      <c r="B216">
        <v>576.25</v>
      </c>
      <c r="C216">
        <v>6.2975000000000003</v>
      </c>
      <c r="D216">
        <v>462.25</v>
      </c>
      <c r="E216">
        <v>1071</v>
      </c>
      <c r="F216">
        <v>317.10000000000002</v>
      </c>
      <c r="G216">
        <v>48.99</v>
      </c>
      <c r="H216">
        <v>3977</v>
      </c>
      <c r="N216">
        <v>454</v>
      </c>
      <c r="O216">
        <v>629.79999999999995</v>
      </c>
      <c r="P216">
        <v>1.6850000000000001</v>
      </c>
      <c r="Q216">
        <v>2.0508000000000002</v>
      </c>
      <c r="R216">
        <v>588.25</v>
      </c>
      <c r="S216">
        <v>56.17</v>
      </c>
      <c r="T216">
        <v>59.65</v>
      </c>
      <c r="U216">
        <v>1.6331</v>
      </c>
      <c r="AI216" s="26"/>
      <c r="AJ216" s="26"/>
      <c r="BN216"/>
      <c r="BO216"/>
    </row>
    <row r="217" spans="1:67" x14ac:dyDescent="0.25">
      <c r="A217">
        <v>559.5</v>
      </c>
      <c r="B217">
        <v>568.5</v>
      </c>
      <c r="C217">
        <v>6.2125000000000004</v>
      </c>
      <c r="D217">
        <v>460.5</v>
      </c>
      <c r="E217">
        <v>1075</v>
      </c>
      <c r="F217">
        <v>316.10000000000002</v>
      </c>
      <c r="G217">
        <v>49.43</v>
      </c>
      <c r="H217">
        <v>3965</v>
      </c>
      <c r="N217">
        <v>455</v>
      </c>
      <c r="O217">
        <v>635.6</v>
      </c>
      <c r="P217">
        <v>1.68</v>
      </c>
      <c r="Q217">
        <v>2.0491000000000001</v>
      </c>
      <c r="R217">
        <v>588.25</v>
      </c>
      <c r="S217">
        <v>56.15</v>
      </c>
      <c r="T217">
        <v>59.66</v>
      </c>
      <c r="U217">
        <v>1.6296999999999999</v>
      </c>
      <c r="AI217" s="26"/>
      <c r="AJ217" s="26"/>
      <c r="BN217"/>
      <c r="BO217"/>
    </row>
    <row r="218" spans="1:67" x14ac:dyDescent="0.25">
      <c r="A218">
        <v>560</v>
      </c>
      <c r="B218">
        <v>566.25</v>
      </c>
      <c r="C218">
        <v>6.2450000000000001</v>
      </c>
      <c r="D218">
        <v>459.5</v>
      </c>
      <c r="E218">
        <v>1080.25</v>
      </c>
      <c r="F218">
        <v>321.2</v>
      </c>
      <c r="G218">
        <v>49.35</v>
      </c>
      <c r="H218">
        <v>3953</v>
      </c>
      <c r="N218">
        <v>455.75</v>
      </c>
      <c r="O218">
        <v>637.79999999999995</v>
      </c>
      <c r="P218">
        <v>1.67</v>
      </c>
      <c r="Q218">
        <v>2.044</v>
      </c>
      <c r="R218">
        <v>585.25</v>
      </c>
      <c r="S218">
        <v>55.76</v>
      </c>
      <c r="T218">
        <v>59.29</v>
      </c>
      <c r="U218">
        <v>1.6265000000000001</v>
      </c>
      <c r="AI218" s="26"/>
      <c r="AJ218" s="26"/>
      <c r="BN218"/>
      <c r="BO218"/>
    </row>
    <row r="219" spans="1:67" x14ac:dyDescent="0.25">
      <c r="A219">
        <v>567.75</v>
      </c>
      <c r="B219">
        <v>572</v>
      </c>
      <c r="C219">
        <v>6.2575000000000003</v>
      </c>
      <c r="D219">
        <v>461</v>
      </c>
      <c r="E219">
        <v>1088.5</v>
      </c>
      <c r="F219">
        <v>321.3</v>
      </c>
      <c r="G219">
        <v>50.15</v>
      </c>
      <c r="H219">
        <v>3960</v>
      </c>
      <c r="N219">
        <v>458</v>
      </c>
      <c r="O219">
        <v>640.4</v>
      </c>
      <c r="P219">
        <v>1.675</v>
      </c>
      <c r="Q219">
        <v>2.0836999999999999</v>
      </c>
      <c r="R219">
        <v>594.25</v>
      </c>
      <c r="S219">
        <v>57.09</v>
      </c>
      <c r="T219">
        <v>60.64</v>
      </c>
      <c r="U219">
        <v>1.6654</v>
      </c>
      <c r="AI219" s="26"/>
      <c r="AJ219" s="26"/>
      <c r="BN219"/>
      <c r="BO219"/>
    </row>
    <row r="220" spans="1:67" x14ac:dyDescent="0.25">
      <c r="A220">
        <v>574</v>
      </c>
      <c r="B220">
        <v>577.75</v>
      </c>
      <c r="C220">
        <v>6.3150000000000004</v>
      </c>
      <c r="D220">
        <v>462</v>
      </c>
      <c r="E220">
        <v>1088.25</v>
      </c>
      <c r="F220">
        <v>320.5</v>
      </c>
      <c r="G220">
        <v>50.6</v>
      </c>
      <c r="N220">
        <v>460.25</v>
      </c>
      <c r="O220">
        <v>641.79999999999995</v>
      </c>
      <c r="P220">
        <v>1.69</v>
      </c>
      <c r="Q220">
        <v>2.0880000000000001</v>
      </c>
      <c r="R220">
        <v>597.5</v>
      </c>
      <c r="S220">
        <v>57.16</v>
      </c>
      <c r="T220">
        <v>60.68</v>
      </c>
      <c r="U220">
        <v>1.669</v>
      </c>
      <c r="AI220" s="26"/>
      <c r="AJ220" s="26"/>
      <c r="BN220"/>
      <c r="BO220"/>
    </row>
    <row r="221" spans="1:67" x14ac:dyDescent="0.25">
      <c r="A221">
        <v>577</v>
      </c>
      <c r="B221">
        <v>581</v>
      </c>
      <c r="C221">
        <v>6.3224999999999998</v>
      </c>
      <c r="D221">
        <v>465</v>
      </c>
      <c r="E221">
        <v>1098.25</v>
      </c>
      <c r="F221">
        <v>323.2</v>
      </c>
      <c r="G221">
        <v>51.19</v>
      </c>
      <c r="N221">
        <v>463.75</v>
      </c>
      <c r="O221">
        <v>653.4</v>
      </c>
      <c r="P221">
        <v>1.6924999999999999</v>
      </c>
      <c r="Q221">
        <v>2.1040000000000001</v>
      </c>
      <c r="R221">
        <v>600</v>
      </c>
      <c r="S221">
        <v>57.43</v>
      </c>
      <c r="T221">
        <v>60.97</v>
      </c>
      <c r="U221">
        <v>1.6807000000000001</v>
      </c>
      <c r="AI221" s="26"/>
      <c r="AJ221" s="26"/>
      <c r="BN221"/>
      <c r="BO221"/>
    </row>
    <row r="222" spans="1:67" x14ac:dyDescent="0.25">
      <c r="A222">
        <v>574.75</v>
      </c>
      <c r="B222">
        <v>582</v>
      </c>
      <c r="C222">
        <v>6.32</v>
      </c>
      <c r="D222">
        <v>463.75</v>
      </c>
      <c r="E222">
        <v>1095.5</v>
      </c>
      <c r="F222">
        <v>322.89999999999998</v>
      </c>
      <c r="G222">
        <v>51.39</v>
      </c>
      <c r="N222">
        <v>461.5</v>
      </c>
      <c r="O222">
        <v>650.4</v>
      </c>
      <c r="P222">
        <v>1.6725000000000001</v>
      </c>
      <c r="Q222">
        <v>2.1294</v>
      </c>
      <c r="R222">
        <v>607</v>
      </c>
      <c r="S222">
        <v>58.04</v>
      </c>
      <c r="T222">
        <v>61.52</v>
      </c>
      <c r="U222">
        <v>1.7034</v>
      </c>
      <c r="AI222" s="26"/>
      <c r="AJ222" s="26"/>
      <c r="BN222"/>
      <c r="BO222"/>
    </row>
    <row r="223" spans="1:67" x14ac:dyDescent="0.25">
      <c r="A223">
        <v>578</v>
      </c>
      <c r="B223">
        <v>584.5</v>
      </c>
      <c r="C223">
        <v>6.3049999999999997</v>
      </c>
      <c r="D223">
        <v>465.75</v>
      </c>
      <c r="E223">
        <v>1094.75</v>
      </c>
      <c r="F223">
        <v>323.89999999999998</v>
      </c>
      <c r="G223">
        <v>51.28</v>
      </c>
      <c r="N223">
        <v>460</v>
      </c>
      <c r="O223">
        <v>656.9</v>
      </c>
      <c r="P223">
        <v>1.665</v>
      </c>
      <c r="Q223">
        <v>2.1240999999999999</v>
      </c>
      <c r="R223">
        <v>608.5</v>
      </c>
      <c r="S223">
        <v>57.85</v>
      </c>
      <c r="T223">
        <v>61.38</v>
      </c>
      <c r="U223">
        <v>1.6994</v>
      </c>
      <c r="AI223" s="26"/>
      <c r="AJ223" s="26"/>
      <c r="BN223"/>
      <c r="BO223"/>
    </row>
    <row r="224" spans="1:67" x14ac:dyDescent="0.25">
      <c r="A224">
        <v>578.25</v>
      </c>
      <c r="B224">
        <v>584.75</v>
      </c>
      <c r="C224">
        <v>6.2824999999999998</v>
      </c>
      <c r="D224">
        <v>464</v>
      </c>
      <c r="E224">
        <v>1101.5</v>
      </c>
      <c r="F224">
        <v>325.2</v>
      </c>
      <c r="G224">
        <v>51.44</v>
      </c>
      <c r="N224">
        <v>464</v>
      </c>
      <c r="O224">
        <v>653.29999999999995</v>
      </c>
      <c r="P224">
        <v>1.6850000000000001</v>
      </c>
      <c r="Q224">
        <v>2.1324999999999998</v>
      </c>
      <c r="R224">
        <v>613</v>
      </c>
      <c r="S224">
        <v>58.07</v>
      </c>
      <c r="T224">
        <v>61.63</v>
      </c>
      <c r="U224">
        <v>1.7024999999999999</v>
      </c>
      <c r="AI224" s="26"/>
      <c r="AJ224" s="26"/>
      <c r="BN224"/>
      <c r="BO224"/>
    </row>
    <row r="225" spans="1:67" x14ac:dyDescent="0.25">
      <c r="A225">
        <v>578.75</v>
      </c>
      <c r="B225">
        <v>589</v>
      </c>
      <c r="C225">
        <v>6.3025000000000002</v>
      </c>
      <c r="D225">
        <v>464.25</v>
      </c>
      <c r="E225">
        <v>1104</v>
      </c>
      <c r="F225">
        <v>326</v>
      </c>
      <c r="G225">
        <v>51.91</v>
      </c>
      <c r="N225">
        <v>462.25</v>
      </c>
      <c r="O225">
        <v>657.8</v>
      </c>
      <c r="P225">
        <v>1.7024999999999999</v>
      </c>
      <c r="Q225">
        <v>2.1602000000000001</v>
      </c>
      <c r="R225">
        <v>620</v>
      </c>
      <c r="S225">
        <v>58.95</v>
      </c>
      <c r="T225">
        <v>62.55</v>
      </c>
      <c r="U225">
        <v>1.7317</v>
      </c>
      <c r="AI225" s="26"/>
      <c r="AJ225" s="26"/>
      <c r="BN225"/>
      <c r="BO225"/>
    </row>
    <row r="226" spans="1:67" x14ac:dyDescent="0.25">
      <c r="A226">
        <v>583</v>
      </c>
      <c r="B226">
        <v>591.75</v>
      </c>
      <c r="C226">
        <v>6.3075000000000001</v>
      </c>
      <c r="D226">
        <v>464.75</v>
      </c>
      <c r="E226">
        <v>1114.75</v>
      </c>
      <c r="F226">
        <v>329.6</v>
      </c>
      <c r="G226">
        <v>51.99</v>
      </c>
      <c r="N226">
        <v>461.75</v>
      </c>
      <c r="O226">
        <v>663.3</v>
      </c>
      <c r="P226">
        <v>1.6625000000000001</v>
      </c>
      <c r="Q226">
        <v>2.1475</v>
      </c>
      <c r="R226">
        <v>615.75</v>
      </c>
      <c r="S226">
        <v>58.58</v>
      </c>
      <c r="T226">
        <v>62.17</v>
      </c>
      <c r="U226">
        <v>1.7232000000000001</v>
      </c>
      <c r="AI226" s="26"/>
      <c r="AJ226" s="26"/>
      <c r="BN226"/>
      <c r="BO226"/>
    </row>
    <row r="227" spans="1:67" x14ac:dyDescent="0.25">
      <c r="A227">
        <v>581.25</v>
      </c>
      <c r="B227">
        <v>587</v>
      </c>
      <c r="C227">
        <v>6.32</v>
      </c>
      <c r="D227">
        <v>463.5</v>
      </c>
      <c r="E227">
        <v>1114</v>
      </c>
      <c r="F227">
        <v>330.3</v>
      </c>
      <c r="G227">
        <v>51.95</v>
      </c>
      <c r="N227">
        <v>464.75</v>
      </c>
      <c r="O227">
        <v>661.4</v>
      </c>
      <c r="P227">
        <v>1.6675</v>
      </c>
      <c r="Q227">
        <v>2.1423999999999999</v>
      </c>
      <c r="R227">
        <v>616</v>
      </c>
      <c r="S227">
        <v>58.18</v>
      </c>
      <c r="T227">
        <v>61.83</v>
      </c>
      <c r="U227">
        <v>1.7171000000000001</v>
      </c>
      <c r="AI227" s="26"/>
      <c r="AJ227" s="26"/>
      <c r="BN227"/>
      <c r="BO227"/>
    </row>
    <row r="228" spans="1:67" x14ac:dyDescent="0.25">
      <c r="A228">
        <v>584.5</v>
      </c>
      <c r="B228">
        <v>589.25</v>
      </c>
      <c r="C228">
        <v>6.34</v>
      </c>
      <c r="D228">
        <v>469.25</v>
      </c>
      <c r="E228">
        <v>1123</v>
      </c>
      <c r="F228">
        <v>331.3</v>
      </c>
      <c r="G228">
        <v>52.84</v>
      </c>
      <c r="N228">
        <v>468.75</v>
      </c>
      <c r="O228">
        <v>672.8</v>
      </c>
      <c r="P228">
        <v>1.675</v>
      </c>
      <c r="Q228">
        <v>2.1493000000000002</v>
      </c>
      <c r="R228">
        <v>618</v>
      </c>
      <c r="S228">
        <v>58.11</v>
      </c>
      <c r="T228">
        <v>61.73</v>
      </c>
      <c r="U228">
        <v>1.7189000000000001</v>
      </c>
      <c r="AI228" s="26"/>
      <c r="AJ228" s="26"/>
      <c r="BN228"/>
      <c r="BO228"/>
    </row>
    <row r="229" spans="1:67" x14ac:dyDescent="0.25">
      <c r="A229">
        <v>581.25</v>
      </c>
      <c r="B229">
        <v>582.5</v>
      </c>
      <c r="C229">
        <v>6.3075000000000001</v>
      </c>
      <c r="D229">
        <v>467</v>
      </c>
      <c r="E229">
        <v>1125</v>
      </c>
      <c r="F229">
        <v>332.7</v>
      </c>
      <c r="G229">
        <v>52.51</v>
      </c>
      <c r="N229">
        <v>465.75</v>
      </c>
      <c r="O229">
        <v>674.4</v>
      </c>
      <c r="P229">
        <v>1.68</v>
      </c>
      <c r="Q229">
        <v>2.1655000000000002</v>
      </c>
      <c r="R229">
        <v>619.25</v>
      </c>
      <c r="S229">
        <v>58.79</v>
      </c>
      <c r="T229">
        <v>62.39</v>
      </c>
      <c r="U229">
        <v>1.7413000000000001</v>
      </c>
      <c r="AI229" s="26"/>
      <c r="AJ229" s="26"/>
      <c r="BN229"/>
      <c r="BO229"/>
    </row>
    <row r="230" spans="1:67" x14ac:dyDescent="0.25">
      <c r="A230">
        <v>584</v>
      </c>
      <c r="B230">
        <v>583.75</v>
      </c>
      <c r="C230">
        <v>6.3125</v>
      </c>
      <c r="D230">
        <v>468.25</v>
      </c>
      <c r="E230">
        <v>1128.5</v>
      </c>
      <c r="F230">
        <v>336.5</v>
      </c>
      <c r="G230">
        <v>52.04</v>
      </c>
      <c r="N230">
        <v>469.75</v>
      </c>
      <c r="O230">
        <v>676.1</v>
      </c>
      <c r="P230">
        <v>1.6850000000000001</v>
      </c>
      <c r="Q230">
        <v>2.1372</v>
      </c>
      <c r="R230">
        <v>619.75</v>
      </c>
      <c r="S230">
        <v>58.05</v>
      </c>
      <c r="T230">
        <v>61.65</v>
      </c>
      <c r="U230">
        <v>1.7145999999999999</v>
      </c>
      <c r="AI230" s="26"/>
      <c r="AJ230" s="26"/>
      <c r="BN230"/>
      <c r="BO230"/>
    </row>
    <row r="231" spans="1:67" x14ac:dyDescent="0.25">
      <c r="N231">
        <v>470</v>
      </c>
      <c r="O231">
        <v>677.4</v>
      </c>
      <c r="R231">
        <v>619</v>
      </c>
      <c r="T231">
        <v>62.34</v>
      </c>
      <c r="AI231" s="26"/>
      <c r="AJ231" s="26"/>
      <c r="BN231"/>
      <c r="BO231"/>
    </row>
    <row r="232" spans="1:67" x14ac:dyDescent="0.25">
      <c r="A232">
        <v>586.25</v>
      </c>
      <c r="B232">
        <v>586.25</v>
      </c>
      <c r="C232">
        <v>6.3224999999999998</v>
      </c>
      <c r="D232">
        <v>465.25</v>
      </c>
      <c r="E232">
        <v>1122.25</v>
      </c>
      <c r="F232">
        <v>339.9</v>
      </c>
      <c r="G232">
        <v>51.13</v>
      </c>
      <c r="N232">
        <v>467.75</v>
      </c>
      <c r="O232">
        <v>678.1</v>
      </c>
      <c r="P232">
        <v>1.6850000000000001</v>
      </c>
      <c r="Q232">
        <v>2.1448</v>
      </c>
      <c r="R232">
        <v>611.25</v>
      </c>
      <c r="S232">
        <v>58.4</v>
      </c>
      <c r="T232">
        <v>62.04</v>
      </c>
      <c r="U232">
        <v>1.7233000000000001</v>
      </c>
      <c r="AI232" s="26"/>
      <c r="AJ232" s="26"/>
      <c r="BN232"/>
      <c r="BO232"/>
    </row>
    <row r="233" spans="1:67" x14ac:dyDescent="0.25">
      <c r="A233">
        <v>583.5</v>
      </c>
      <c r="B233">
        <v>583.25</v>
      </c>
      <c r="C233">
        <v>6.3574999999999999</v>
      </c>
      <c r="D233">
        <v>461.75</v>
      </c>
      <c r="E233">
        <v>1119.25</v>
      </c>
      <c r="F233">
        <v>339.6</v>
      </c>
      <c r="G233">
        <v>50.78</v>
      </c>
      <c r="N233">
        <v>467.25</v>
      </c>
      <c r="O233">
        <v>677.5</v>
      </c>
      <c r="P233">
        <v>1.6875</v>
      </c>
      <c r="Q233">
        <v>2.1364999999999998</v>
      </c>
      <c r="R233">
        <v>608.25</v>
      </c>
      <c r="S233">
        <v>57.86</v>
      </c>
      <c r="T233">
        <v>61.52</v>
      </c>
      <c r="U233">
        <v>1.7050000000000001</v>
      </c>
      <c r="AI233" s="26"/>
      <c r="AJ233" s="26"/>
      <c r="BN233"/>
      <c r="BO233"/>
    </row>
    <row r="234" spans="1:67" x14ac:dyDescent="0.25">
      <c r="A234">
        <v>580</v>
      </c>
      <c r="B234">
        <v>579</v>
      </c>
      <c r="C234">
        <v>6.3150000000000004</v>
      </c>
      <c r="D234">
        <v>460</v>
      </c>
      <c r="E234">
        <v>1116.75</v>
      </c>
      <c r="F234">
        <v>337.7</v>
      </c>
      <c r="G234">
        <v>50.78</v>
      </c>
      <c r="N234">
        <v>465</v>
      </c>
      <c r="O234">
        <v>673.9</v>
      </c>
      <c r="P234">
        <v>1.6850000000000001</v>
      </c>
      <c r="Q234">
        <v>2.1541000000000001</v>
      </c>
      <c r="R234">
        <v>615</v>
      </c>
      <c r="S234">
        <v>58.35</v>
      </c>
      <c r="T234">
        <v>62.04</v>
      </c>
      <c r="U234">
        <v>1.7101</v>
      </c>
      <c r="AI234" s="26"/>
      <c r="AJ234" s="26"/>
      <c r="BN234"/>
      <c r="BO234"/>
    </row>
    <row r="235" spans="1:67" x14ac:dyDescent="0.25">
      <c r="A235">
        <v>584.5</v>
      </c>
      <c r="B235">
        <v>582.75</v>
      </c>
      <c r="C235">
        <v>6.31</v>
      </c>
      <c r="D235">
        <v>460</v>
      </c>
      <c r="E235">
        <v>1112</v>
      </c>
      <c r="F235">
        <v>336.1</v>
      </c>
      <c r="G235">
        <v>50.76</v>
      </c>
      <c r="N235">
        <v>465.25</v>
      </c>
      <c r="O235">
        <v>671.6</v>
      </c>
      <c r="P235">
        <v>1.6825000000000001</v>
      </c>
      <c r="Q235">
        <v>2.1562000000000001</v>
      </c>
      <c r="R235">
        <v>616.75</v>
      </c>
      <c r="S235">
        <v>57.75</v>
      </c>
      <c r="T235">
        <v>61.44</v>
      </c>
      <c r="U235">
        <v>1.7018</v>
      </c>
      <c r="AI235" s="26"/>
      <c r="AJ235" s="26"/>
      <c r="BN235"/>
      <c r="BO235"/>
    </row>
    <row r="236" spans="1:67" x14ac:dyDescent="0.25">
      <c r="A236">
        <v>586</v>
      </c>
      <c r="B236">
        <v>581.5</v>
      </c>
      <c r="C236">
        <v>6.3425000000000002</v>
      </c>
      <c r="D236">
        <v>461</v>
      </c>
      <c r="E236">
        <v>1113.75</v>
      </c>
      <c r="F236">
        <v>335.1</v>
      </c>
      <c r="G236">
        <v>51.12</v>
      </c>
      <c r="N236">
        <v>469</v>
      </c>
      <c r="O236">
        <v>672.5</v>
      </c>
      <c r="P236">
        <v>1.67</v>
      </c>
      <c r="Q236">
        <v>2.1718000000000002</v>
      </c>
      <c r="R236">
        <v>624.5</v>
      </c>
      <c r="S236">
        <v>58.25</v>
      </c>
      <c r="T236">
        <v>61.9</v>
      </c>
      <c r="U236">
        <v>1.7155</v>
      </c>
      <c r="AI236" s="26"/>
      <c r="AJ236" s="26"/>
      <c r="BN236"/>
      <c r="BO236"/>
    </row>
    <row r="237" spans="1:67" x14ac:dyDescent="0.25">
      <c r="A237">
        <v>594.5</v>
      </c>
      <c r="B237">
        <v>590.75</v>
      </c>
      <c r="C237">
        <v>6.3849999999999998</v>
      </c>
      <c r="D237">
        <v>462.75</v>
      </c>
      <c r="E237">
        <v>1119.5</v>
      </c>
      <c r="F237">
        <v>336.8</v>
      </c>
      <c r="G237">
        <v>51.56</v>
      </c>
      <c r="N237">
        <v>469</v>
      </c>
      <c r="O237">
        <v>672.3</v>
      </c>
      <c r="P237">
        <v>1.6525000000000001</v>
      </c>
      <c r="Q237">
        <v>2.1911</v>
      </c>
      <c r="R237">
        <v>627.75</v>
      </c>
      <c r="S237">
        <v>58.44</v>
      </c>
      <c r="T237">
        <v>62.05</v>
      </c>
      <c r="U237">
        <v>1.7218</v>
      </c>
      <c r="AI237" s="26"/>
      <c r="AJ237" s="26"/>
      <c r="BN237"/>
      <c r="BO237"/>
    </row>
    <row r="238" spans="1:67" x14ac:dyDescent="0.25">
      <c r="A238">
        <v>605.75</v>
      </c>
      <c r="B238">
        <v>601.5</v>
      </c>
      <c r="C238">
        <v>6.38</v>
      </c>
      <c r="D238">
        <v>469.25</v>
      </c>
      <c r="E238">
        <v>1127</v>
      </c>
      <c r="F238">
        <v>337.4</v>
      </c>
      <c r="G238">
        <v>52.53</v>
      </c>
      <c r="N238">
        <v>473</v>
      </c>
      <c r="O238">
        <v>676.2</v>
      </c>
      <c r="P238">
        <v>1.6675</v>
      </c>
      <c r="Q238">
        <v>2.2372000000000001</v>
      </c>
      <c r="R238">
        <v>635.25</v>
      </c>
      <c r="S238">
        <v>59.74</v>
      </c>
      <c r="T238">
        <v>63.34</v>
      </c>
      <c r="U238">
        <v>1.7569999999999999</v>
      </c>
      <c r="AI238" s="26"/>
      <c r="AJ238" s="26"/>
      <c r="BN238"/>
      <c r="BO238"/>
    </row>
    <row r="239" spans="1:67" x14ac:dyDescent="0.25">
      <c r="A239">
        <v>607</v>
      </c>
      <c r="B239">
        <v>602.25</v>
      </c>
      <c r="C239">
        <v>6.3574999999999999</v>
      </c>
      <c r="D239">
        <v>469.75</v>
      </c>
      <c r="E239">
        <v>1129</v>
      </c>
      <c r="F239">
        <v>341.6</v>
      </c>
      <c r="G239">
        <v>51.66</v>
      </c>
      <c r="N239">
        <v>473.25</v>
      </c>
      <c r="O239">
        <v>675.4</v>
      </c>
      <c r="P239">
        <v>1.6850000000000001</v>
      </c>
      <c r="Q239">
        <v>2.2115</v>
      </c>
      <c r="R239">
        <v>634.75</v>
      </c>
      <c r="S239">
        <v>59.39</v>
      </c>
      <c r="T239">
        <v>62.98</v>
      </c>
      <c r="U239">
        <v>1.7496</v>
      </c>
      <c r="AI239" s="26"/>
      <c r="AJ239" s="26"/>
      <c r="BN239"/>
      <c r="BO239"/>
    </row>
    <row r="240" spans="1:67" x14ac:dyDescent="0.25">
      <c r="A240">
        <v>592.75</v>
      </c>
      <c r="B240">
        <v>590</v>
      </c>
      <c r="C240">
        <v>6.3324999999999996</v>
      </c>
      <c r="D240">
        <v>467.25</v>
      </c>
      <c r="E240">
        <v>1115</v>
      </c>
      <c r="F240">
        <v>337.9</v>
      </c>
      <c r="G240">
        <v>50.88</v>
      </c>
      <c r="N240">
        <v>469</v>
      </c>
      <c r="O240">
        <v>671.2</v>
      </c>
      <c r="P240">
        <v>1.6950000000000001</v>
      </c>
      <c r="Q240">
        <v>2.2141000000000002</v>
      </c>
      <c r="R240">
        <v>637.5</v>
      </c>
      <c r="S240">
        <v>59.45</v>
      </c>
      <c r="T240">
        <v>63.03</v>
      </c>
      <c r="U240">
        <v>1.7614000000000001</v>
      </c>
      <c r="AI240" s="26"/>
      <c r="AJ240" s="26"/>
      <c r="BN240"/>
      <c r="BO240"/>
    </row>
    <row r="241" spans="1:67" x14ac:dyDescent="0.25">
      <c r="A241">
        <v>605.5</v>
      </c>
      <c r="B241">
        <v>602.25</v>
      </c>
      <c r="C241">
        <v>6.4</v>
      </c>
      <c r="D241">
        <v>473</v>
      </c>
      <c r="E241">
        <v>1121.75</v>
      </c>
      <c r="F241">
        <v>339.6</v>
      </c>
      <c r="G241">
        <v>50.92</v>
      </c>
      <c r="N241">
        <v>470.5</v>
      </c>
      <c r="O241">
        <v>674.7</v>
      </c>
      <c r="P241">
        <v>1.7124999999999999</v>
      </c>
      <c r="Q241">
        <v>2.1905000000000001</v>
      </c>
      <c r="R241">
        <v>631</v>
      </c>
      <c r="S241">
        <v>58.68</v>
      </c>
      <c r="T241">
        <v>62.27</v>
      </c>
      <c r="U241">
        <v>1.74</v>
      </c>
      <c r="AI241" s="26"/>
      <c r="AJ241" s="26"/>
      <c r="BN241"/>
      <c r="BO241"/>
    </row>
    <row r="242" spans="1:67" x14ac:dyDescent="0.25">
      <c r="A242">
        <v>605.25</v>
      </c>
      <c r="B242">
        <v>601.25</v>
      </c>
      <c r="C242">
        <v>6.43</v>
      </c>
      <c r="D242">
        <v>470</v>
      </c>
      <c r="E242">
        <v>1115.75</v>
      </c>
      <c r="F242">
        <v>335</v>
      </c>
      <c r="G242">
        <v>51.23</v>
      </c>
      <c r="N242">
        <v>468.75</v>
      </c>
      <c r="O242">
        <v>675.5</v>
      </c>
      <c r="P242">
        <v>1.7075</v>
      </c>
      <c r="Q242">
        <v>2.2008000000000001</v>
      </c>
      <c r="R242">
        <v>631.5</v>
      </c>
      <c r="S242">
        <v>58.71</v>
      </c>
      <c r="T242">
        <v>62.27</v>
      </c>
      <c r="U242">
        <v>1.7454000000000001</v>
      </c>
      <c r="AI242" s="26"/>
      <c r="AJ242" s="26"/>
      <c r="BN242"/>
      <c r="BO242"/>
    </row>
    <row r="243" spans="1:67" x14ac:dyDescent="0.25">
      <c r="A243">
        <v>602.25</v>
      </c>
      <c r="B243">
        <v>598.25</v>
      </c>
      <c r="C243">
        <v>6.4074999999999998</v>
      </c>
      <c r="D243">
        <v>470</v>
      </c>
      <c r="E243">
        <v>1112</v>
      </c>
      <c r="F243">
        <v>330.7</v>
      </c>
      <c r="G243">
        <v>51.61</v>
      </c>
      <c r="N243">
        <v>470.5</v>
      </c>
      <c r="P243">
        <v>1.7075</v>
      </c>
      <c r="Q243">
        <v>2.2507999999999999</v>
      </c>
      <c r="R243">
        <v>644.25</v>
      </c>
      <c r="S243">
        <v>60.69</v>
      </c>
      <c r="T243">
        <v>64.22</v>
      </c>
      <c r="U243">
        <v>1.7909999999999999</v>
      </c>
      <c r="AI243" s="26"/>
      <c r="AJ243" s="26"/>
      <c r="BN243"/>
      <c r="BO243"/>
    </row>
    <row r="244" spans="1:67" x14ac:dyDescent="0.25">
      <c r="A244">
        <v>598</v>
      </c>
      <c r="B244">
        <v>595.5</v>
      </c>
      <c r="C244">
        <v>6.375</v>
      </c>
      <c r="D244">
        <v>467.75</v>
      </c>
      <c r="E244">
        <v>1110.5</v>
      </c>
      <c r="F244">
        <v>332.6</v>
      </c>
      <c r="G244">
        <v>51.18</v>
      </c>
      <c r="N244">
        <v>470.25</v>
      </c>
      <c r="O244">
        <v>676.1</v>
      </c>
      <c r="P244">
        <v>1.7</v>
      </c>
      <c r="Q244">
        <v>2.2229000000000001</v>
      </c>
      <c r="R244">
        <v>633.25</v>
      </c>
      <c r="S244">
        <v>59.99</v>
      </c>
      <c r="T244">
        <v>63.54</v>
      </c>
      <c r="U244">
        <v>1.7679</v>
      </c>
      <c r="AI244" s="26"/>
      <c r="AJ244" s="26"/>
      <c r="BN244"/>
      <c r="BO244"/>
    </row>
    <row r="245" spans="1:67" x14ac:dyDescent="0.25">
      <c r="A245">
        <v>589.75</v>
      </c>
      <c r="B245">
        <v>586.5</v>
      </c>
      <c r="C245">
        <v>6.31</v>
      </c>
      <c r="D245">
        <v>464</v>
      </c>
      <c r="E245">
        <v>1100.5</v>
      </c>
      <c r="F245">
        <v>332</v>
      </c>
      <c r="G245">
        <v>50.26</v>
      </c>
      <c r="N245">
        <v>470.5</v>
      </c>
      <c r="O245">
        <v>673.3</v>
      </c>
      <c r="P245">
        <v>1.6924999999999999</v>
      </c>
      <c r="Q245">
        <v>2.2121</v>
      </c>
      <c r="R245">
        <v>634.5</v>
      </c>
      <c r="S245">
        <v>59.77</v>
      </c>
      <c r="T245">
        <v>63.31</v>
      </c>
      <c r="U245">
        <v>1.7599</v>
      </c>
      <c r="AI245" s="26"/>
      <c r="AJ245" s="26"/>
      <c r="BN245"/>
      <c r="BO245"/>
    </row>
    <row r="246" spans="1:67" x14ac:dyDescent="0.25">
      <c r="A246">
        <v>596.5</v>
      </c>
      <c r="B246">
        <v>591.75</v>
      </c>
      <c r="C246">
        <v>6.3049999999999997</v>
      </c>
      <c r="D246">
        <v>465</v>
      </c>
      <c r="E246">
        <v>1096.25</v>
      </c>
      <c r="F246">
        <v>331.3</v>
      </c>
      <c r="G246">
        <v>49.82</v>
      </c>
      <c r="N246">
        <v>466.25</v>
      </c>
      <c r="O246">
        <v>668.1</v>
      </c>
      <c r="P246">
        <v>1.7</v>
      </c>
      <c r="Q246">
        <v>2.2061000000000002</v>
      </c>
      <c r="R246">
        <v>632.75</v>
      </c>
      <c r="S246">
        <v>59.49</v>
      </c>
      <c r="T246">
        <v>63.03</v>
      </c>
      <c r="U246">
        <v>1.7509999999999999</v>
      </c>
      <c r="AI246" s="26"/>
      <c r="AJ246" s="26"/>
      <c r="BN246"/>
      <c r="BO246"/>
    </row>
    <row r="247" spans="1:67" x14ac:dyDescent="0.25">
      <c r="A247">
        <v>610.5</v>
      </c>
      <c r="B247">
        <v>605</v>
      </c>
      <c r="C247">
        <v>6.3274999999999997</v>
      </c>
      <c r="D247">
        <v>468.75</v>
      </c>
      <c r="E247">
        <v>1111.5</v>
      </c>
      <c r="F247">
        <v>335.6</v>
      </c>
      <c r="G247">
        <v>50.12</v>
      </c>
      <c r="N247">
        <v>469.5</v>
      </c>
      <c r="O247">
        <v>670.6</v>
      </c>
      <c r="P247">
        <v>1.71</v>
      </c>
      <c r="Q247">
        <v>2.1947000000000001</v>
      </c>
      <c r="R247">
        <v>638</v>
      </c>
      <c r="S247">
        <v>59.57</v>
      </c>
      <c r="T247">
        <v>63.24</v>
      </c>
      <c r="U247">
        <v>1.7526999999999999</v>
      </c>
      <c r="AI247" s="26"/>
      <c r="AJ247" s="26"/>
      <c r="BN247"/>
      <c r="BO247"/>
    </row>
    <row r="248" spans="1:67" x14ac:dyDescent="0.25">
      <c r="A248">
        <v>608.75</v>
      </c>
      <c r="B248">
        <v>601.5</v>
      </c>
      <c r="C248">
        <v>6.3449999999999998</v>
      </c>
      <c r="D248">
        <v>465.75</v>
      </c>
      <c r="E248">
        <v>1103</v>
      </c>
      <c r="F248">
        <v>330.4</v>
      </c>
      <c r="G248">
        <v>50.12</v>
      </c>
      <c r="N248">
        <v>468.75</v>
      </c>
      <c r="O248">
        <v>671.6</v>
      </c>
      <c r="P248">
        <v>1.7050000000000001</v>
      </c>
      <c r="Q248">
        <v>2.2176</v>
      </c>
      <c r="R248">
        <v>637.25</v>
      </c>
      <c r="S248">
        <v>60.15</v>
      </c>
      <c r="T248">
        <v>63.84</v>
      </c>
      <c r="U248">
        <v>1.7664</v>
      </c>
      <c r="AI248" s="26"/>
      <c r="AJ248" s="26"/>
      <c r="BN248"/>
      <c r="BO248"/>
    </row>
    <row r="249" spans="1:67" x14ac:dyDescent="0.25">
      <c r="A249">
        <v>607</v>
      </c>
      <c r="B249">
        <v>602.5</v>
      </c>
      <c r="C249">
        <v>6.3775000000000004</v>
      </c>
      <c r="D249">
        <v>467.75</v>
      </c>
      <c r="E249">
        <v>1113.5</v>
      </c>
      <c r="F249">
        <v>335</v>
      </c>
      <c r="G249">
        <v>50.36</v>
      </c>
      <c r="N249">
        <v>468.25</v>
      </c>
      <c r="O249">
        <v>677.9</v>
      </c>
      <c r="P249">
        <v>1.7075</v>
      </c>
      <c r="Q249">
        <v>2.2105999999999999</v>
      </c>
      <c r="R249">
        <v>639.25</v>
      </c>
      <c r="S249">
        <v>60.32</v>
      </c>
      <c r="T249">
        <v>63.99</v>
      </c>
      <c r="U249">
        <v>1.7674000000000001</v>
      </c>
      <c r="AI249" s="26"/>
      <c r="AJ249" s="26"/>
      <c r="BN249"/>
      <c r="BO249"/>
    </row>
    <row r="250" spans="1:67" x14ac:dyDescent="0.25">
      <c r="A250">
        <v>597</v>
      </c>
      <c r="B250">
        <v>589.5</v>
      </c>
      <c r="C250">
        <v>6.35</v>
      </c>
      <c r="D250">
        <v>463.5</v>
      </c>
      <c r="E250">
        <v>1106</v>
      </c>
      <c r="F250">
        <v>335</v>
      </c>
      <c r="G250">
        <v>49.29</v>
      </c>
      <c r="N250">
        <v>469.5</v>
      </c>
      <c r="O250">
        <v>668.5</v>
      </c>
      <c r="P250">
        <v>1.7075</v>
      </c>
      <c r="Q250">
        <v>2.2040999999999999</v>
      </c>
      <c r="R250">
        <v>632</v>
      </c>
      <c r="S250">
        <v>60.05</v>
      </c>
      <c r="T250">
        <v>63.74</v>
      </c>
      <c r="U250">
        <v>1.7599</v>
      </c>
      <c r="AI250" s="26"/>
      <c r="AJ250" s="26"/>
      <c r="BN250"/>
      <c r="BO250"/>
    </row>
    <row r="251" spans="1:67" x14ac:dyDescent="0.25">
      <c r="A251">
        <v>595.5</v>
      </c>
      <c r="B251">
        <v>589</v>
      </c>
      <c r="C251">
        <v>6.33</v>
      </c>
      <c r="D251">
        <v>464.5</v>
      </c>
      <c r="E251">
        <v>1095.75</v>
      </c>
      <c r="F251">
        <v>329.6</v>
      </c>
      <c r="G251">
        <v>50.01</v>
      </c>
      <c r="N251">
        <v>472</v>
      </c>
      <c r="O251">
        <v>678</v>
      </c>
      <c r="P251">
        <v>1.7175</v>
      </c>
      <c r="Q251">
        <v>2.2092000000000001</v>
      </c>
      <c r="R251">
        <v>633.75</v>
      </c>
      <c r="S251">
        <v>60.03</v>
      </c>
      <c r="T251">
        <v>63.77</v>
      </c>
      <c r="U251">
        <v>1.7642</v>
      </c>
      <c r="AI251" s="26"/>
      <c r="AJ251" s="26"/>
      <c r="BN251"/>
      <c r="BO251"/>
    </row>
    <row r="252" spans="1:67" x14ac:dyDescent="0.25">
      <c r="A252">
        <v>597.5</v>
      </c>
      <c r="B252">
        <v>596.25</v>
      </c>
      <c r="C252">
        <v>6.3975</v>
      </c>
      <c r="D252">
        <v>464.75</v>
      </c>
      <c r="E252">
        <v>1098.5</v>
      </c>
      <c r="F252">
        <v>326.39999999999998</v>
      </c>
      <c r="G252">
        <v>50.28</v>
      </c>
      <c r="N252">
        <v>469.5</v>
      </c>
      <c r="O252">
        <v>675.7</v>
      </c>
      <c r="P252">
        <v>1.7024999999999999</v>
      </c>
      <c r="Q252">
        <v>2.2052999999999998</v>
      </c>
      <c r="R252">
        <v>633.5</v>
      </c>
      <c r="S252">
        <v>60.01</v>
      </c>
      <c r="T252">
        <v>63.76</v>
      </c>
      <c r="U252">
        <v>1.7638</v>
      </c>
      <c r="AI252" s="26"/>
      <c r="AJ252" s="26"/>
      <c r="BN252"/>
      <c r="BO252"/>
    </row>
    <row r="253" spans="1:67" x14ac:dyDescent="0.25">
      <c r="A253">
        <v>600.25</v>
      </c>
      <c r="B253">
        <v>599.5</v>
      </c>
      <c r="C253">
        <v>6.45</v>
      </c>
      <c r="D253">
        <v>466.5</v>
      </c>
      <c r="E253">
        <v>1103</v>
      </c>
      <c r="F253">
        <v>325.10000000000002</v>
      </c>
      <c r="G253">
        <v>50.48</v>
      </c>
      <c r="N253">
        <v>470.75</v>
      </c>
      <c r="O253">
        <v>676.9</v>
      </c>
      <c r="P253">
        <v>1.7075</v>
      </c>
      <c r="Q253">
        <v>2.1886000000000001</v>
      </c>
      <c r="R253">
        <v>628.75</v>
      </c>
      <c r="S253">
        <v>59.69</v>
      </c>
      <c r="T253">
        <v>63.44</v>
      </c>
      <c r="U253">
        <v>1.7544999999999999</v>
      </c>
      <c r="AI253" s="26"/>
      <c r="AJ253" s="26"/>
      <c r="BN253"/>
      <c r="BO253"/>
    </row>
    <row r="254" spans="1:67" x14ac:dyDescent="0.25">
      <c r="A254">
        <v>595</v>
      </c>
      <c r="B254">
        <v>592.75</v>
      </c>
      <c r="C254">
        <v>6.4325000000000001</v>
      </c>
      <c r="D254">
        <v>466</v>
      </c>
      <c r="E254">
        <v>1094</v>
      </c>
      <c r="F254">
        <v>318.10000000000002</v>
      </c>
      <c r="G254">
        <v>50.96</v>
      </c>
      <c r="N254">
        <v>472</v>
      </c>
      <c r="O254">
        <v>671.9</v>
      </c>
      <c r="P254">
        <v>1.6950000000000001</v>
      </c>
      <c r="Q254">
        <v>2.2075999999999998</v>
      </c>
      <c r="R254">
        <v>636.25</v>
      </c>
      <c r="S254">
        <v>59.91</v>
      </c>
      <c r="T254">
        <v>63.65</v>
      </c>
      <c r="U254">
        <v>1.7630999999999999</v>
      </c>
      <c r="AI254" s="26"/>
      <c r="AJ254" s="26"/>
      <c r="BN254"/>
      <c r="BO254"/>
    </row>
    <row r="255" spans="1:67" x14ac:dyDescent="0.25">
      <c r="A255">
        <v>580.5</v>
      </c>
      <c r="B255">
        <v>577.75</v>
      </c>
      <c r="C255">
        <v>6.37</v>
      </c>
      <c r="D255">
        <v>459.5</v>
      </c>
      <c r="E255">
        <v>1080.5</v>
      </c>
      <c r="F255">
        <v>311.7</v>
      </c>
      <c r="G255">
        <v>50.43</v>
      </c>
      <c r="N255">
        <v>470</v>
      </c>
      <c r="O255">
        <v>674.9</v>
      </c>
      <c r="P255">
        <v>1.68</v>
      </c>
      <c r="Q255">
        <v>2.2081</v>
      </c>
      <c r="R255">
        <v>636</v>
      </c>
      <c r="S255">
        <v>59.85</v>
      </c>
      <c r="T255">
        <v>63.61</v>
      </c>
      <c r="U255">
        <v>1.7576000000000001</v>
      </c>
      <c r="AI255" s="26"/>
      <c r="AJ255" s="26"/>
      <c r="BN255"/>
      <c r="BO255"/>
    </row>
    <row r="256" spans="1:67" x14ac:dyDescent="0.25">
      <c r="A256">
        <v>580</v>
      </c>
      <c r="B256">
        <v>576.5</v>
      </c>
      <c r="C256">
        <v>6.3949999999999996</v>
      </c>
      <c r="D256">
        <v>461</v>
      </c>
      <c r="E256">
        <v>1080.5</v>
      </c>
      <c r="F256">
        <v>307.7</v>
      </c>
      <c r="G256">
        <v>50.89</v>
      </c>
      <c r="N256">
        <v>472.5</v>
      </c>
      <c r="O256">
        <v>675.9</v>
      </c>
      <c r="P256">
        <v>1.69</v>
      </c>
      <c r="Q256">
        <v>2.2031000000000001</v>
      </c>
      <c r="R256">
        <v>633.25</v>
      </c>
      <c r="S256">
        <v>59.76</v>
      </c>
      <c r="T256">
        <v>63.54</v>
      </c>
      <c r="U256">
        <v>1.7601</v>
      </c>
      <c r="AI256" s="26"/>
      <c r="AJ256" s="26"/>
      <c r="BN256"/>
      <c r="BO256"/>
    </row>
    <row r="257" spans="1:67" x14ac:dyDescent="0.25">
      <c r="A257">
        <v>572.75</v>
      </c>
      <c r="B257">
        <v>567.75</v>
      </c>
      <c r="C257">
        <v>6.2949999999999999</v>
      </c>
      <c r="D257">
        <v>456.75</v>
      </c>
      <c r="E257">
        <v>1070.75</v>
      </c>
      <c r="F257">
        <v>309.8</v>
      </c>
      <c r="G257">
        <v>50.27</v>
      </c>
      <c r="N257">
        <v>467.75</v>
      </c>
      <c r="O257">
        <v>669.2</v>
      </c>
      <c r="P257">
        <v>1.6875</v>
      </c>
      <c r="Q257">
        <v>2.1389999999999998</v>
      </c>
      <c r="R257">
        <v>613.75</v>
      </c>
      <c r="S257">
        <v>59.02</v>
      </c>
      <c r="T257">
        <v>62.7</v>
      </c>
      <c r="U257">
        <v>1.7298</v>
      </c>
      <c r="AI257" s="26"/>
      <c r="AJ257" s="26"/>
      <c r="BN257"/>
      <c r="BO257"/>
    </row>
    <row r="258" spans="1:67" x14ac:dyDescent="0.25">
      <c r="A258">
        <v>570.75</v>
      </c>
      <c r="B258">
        <v>566</v>
      </c>
      <c r="C258">
        <v>6.2850000000000001</v>
      </c>
      <c r="D258">
        <v>455</v>
      </c>
      <c r="E258">
        <v>1072.75</v>
      </c>
      <c r="F258">
        <v>310.3</v>
      </c>
      <c r="G258">
        <v>50.74</v>
      </c>
      <c r="N258">
        <v>460.75</v>
      </c>
      <c r="O258">
        <v>670.6</v>
      </c>
      <c r="P258">
        <v>1.68</v>
      </c>
      <c r="Q258">
        <v>2.1095999999999999</v>
      </c>
      <c r="R258">
        <v>605.75</v>
      </c>
      <c r="S258">
        <v>58.22</v>
      </c>
      <c r="T258">
        <v>61.91</v>
      </c>
      <c r="U258">
        <v>1.7052</v>
      </c>
      <c r="AI258" s="26"/>
      <c r="AJ258" s="26"/>
      <c r="BN258"/>
      <c r="BO258"/>
    </row>
    <row r="259" spans="1:67" x14ac:dyDescent="0.25">
      <c r="A259">
        <v>576.25</v>
      </c>
      <c r="B259">
        <v>570.75</v>
      </c>
      <c r="C259">
        <v>6.33</v>
      </c>
      <c r="D259">
        <v>458</v>
      </c>
      <c r="E259">
        <v>1074.25</v>
      </c>
      <c r="F259">
        <v>311.5</v>
      </c>
      <c r="G259">
        <v>51.26</v>
      </c>
      <c r="N259">
        <v>459.75</v>
      </c>
      <c r="O259">
        <v>669.5</v>
      </c>
      <c r="P259">
        <v>1.69</v>
      </c>
      <c r="Q259">
        <v>2.1080000000000001</v>
      </c>
      <c r="R259">
        <v>605</v>
      </c>
      <c r="S259">
        <v>58.33</v>
      </c>
      <c r="T259">
        <v>62.11</v>
      </c>
      <c r="U259">
        <v>1.7072000000000001</v>
      </c>
      <c r="AI259" s="26"/>
      <c r="AJ259" s="26"/>
      <c r="BN259"/>
      <c r="BO259"/>
    </row>
    <row r="260" spans="1:67" x14ac:dyDescent="0.25">
      <c r="A260">
        <v>573.75</v>
      </c>
      <c r="B260">
        <v>571.75</v>
      </c>
      <c r="C260">
        <v>6.32</v>
      </c>
      <c r="D260">
        <v>457.5</v>
      </c>
      <c r="E260">
        <v>1064.25</v>
      </c>
      <c r="F260">
        <v>307</v>
      </c>
      <c r="G260">
        <v>50.92</v>
      </c>
      <c r="N260">
        <v>456.75</v>
      </c>
      <c r="O260">
        <v>664.2</v>
      </c>
      <c r="P260">
        <v>1.6575</v>
      </c>
      <c r="Q260">
        <v>2.1091000000000002</v>
      </c>
      <c r="R260">
        <v>603.5</v>
      </c>
      <c r="S260">
        <v>58.37</v>
      </c>
      <c r="T260">
        <v>62.17</v>
      </c>
      <c r="U260">
        <v>1.7146999999999999</v>
      </c>
      <c r="AI260" s="26"/>
      <c r="AJ260" s="26"/>
      <c r="BN260"/>
      <c r="BO260"/>
    </row>
    <row r="261" spans="1:67" x14ac:dyDescent="0.25">
      <c r="A261">
        <v>573.25</v>
      </c>
      <c r="B261">
        <v>570</v>
      </c>
      <c r="C261">
        <v>6.3274999999999997</v>
      </c>
      <c r="D261">
        <v>457.25</v>
      </c>
      <c r="E261">
        <v>1058</v>
      </c>
      <c r="F261">
        <v>304</v>
      </c>
      <c r="G261">
        <v>50.63</v>
      </c>
      <c r="N261">
        <v>460</v>
      </c>
      <c r="O261">
        <v>667</v>
      </c>
      <c r="P261">
        <v>1.6375</v>
      </c>
      <c r="Q261">
        <v>2.0897000000000001</v>
      </c>
      <c r="R261">
        <v>606.5</v>
      </c>
      <c r="S261">
        <v>57.87</v>
      </c>
      <c r="T261">
        <v>61.6</v>
      </c>
      <c r="U261">
        <v>1.6998</v>
      </c>
      <c r="AI261" s="26"/>
      <c r="AJ261" s="26"/>
      <c r="BN261"/>
      <c r="BO261"/>
    </row>
  </sheetData>
  <phoneticPr fontId="4" type="noConversion"/>
  <conditionalFormatting sqref="AN3:AN2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3:AO23">
    <cfRule type="colorScale" priority="3">
      <colorScale>
        <cfvo type="min"/>
        <cfvo type="max"/>
        <color rgb="FFFCFCFF"/>
        <color rgb="FFF8696B"/>
      </colorScale>
    </cfRule>
  </conditionalFormatting>
  <conditionalFormatting sqref="AW3:AW2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3:AX23">
    <cfRule type="colorScale" priority="8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3AEF3-C7CE-40B5-9008-C44E352B9A76}">
  <sheetPr codeName="Sheet5"/>
  <dimension ref="A1:BY261"/>
  <sheetViews>
    <sheetView zoomScale="85" zoomScaleNormal="85" workbookViewId="0">
      <selection activeCell="H14" sqref="H14"/>
    </sheetView>
  </sheetViews>
  <sheetFormatPr defaultRowHeight="15" x14ac:dyDescent="0.25"/>
  <cols>
    <col min="1" max="1" width="10.7109375" bestFit="1" customWidth="1"/>
    <col min="2" max="2" width="9.5703125" bestFit="1" customWidth="1"/>
    <col min="3" max="3" width="11.28515625" bestFit="1" customWidth="1"/>
    <col min="4" max="4" width="11.85546875" bestFit="1" customWidth="1"/>
    <col min="5" max="5" width="7.7109375" bestFit="1" customWidth="1"/>
    <col min="6" max="6" width="8.28515625" bestFit="1" customWidth="1"/>
    <col min="7" max="7" width="7.5703125" bestFit="1" customWidth="1"/>
    <col min="8" max="9" width="7.28515625" bestFit="1" customWidth="1"/>
    <col min="10" max="10" width="7" bestFit="1" customWidth="1"/>
    <col min="11" max="11" width="7.7109375" bestFit="1" customWidth="1"/>
    <col min="12" max="12" width="7" bestFit="1" customWidth="1"/>
    <col min="13" max="13" width="9.7109375" bestFit="1" customWidth="1"/>
    <col min="14" max="14" width="9.28515625" bestFit="1" customWidth="1"/>
    <col min="15" max="15" width="9.7109375" bestFit="1" customWidth="1"/>
    <col min="16" max="16" width="9.85546875" bestFit="1" customWidth="1"/>
    <col min="17" max="17" width="10.42578125" bestFit="1" customWidth="1"/>
    <col min="18" max="18" width="13.42578125" bestFit="1" customWidth="1"/>
    <col min="19" max="19" width="8.28515625" bestFit="1" customWidth="1"/>
    <col min="20" max="20" width="13.28515625" bestFit="1" customWidth="1"/>
    <col min="21" max="21" width="13.7109375" bestFit="1" customWidth="1"/>
    <col min="22" max="22" width="8.42578125" bestFit="1" customWidth="1"/>
    <col min="23" max="23" width="9.5703125" bestFit="1" customWidth="1"/>
    <col min="24" max="24" width="8.42578125" customWidth="1"/>
    <col min="25" max="25" width="7.28515625" bestFit="1" customWidth="1"/>
    <col min="26" max="26" width="13" bestFit="1" customWidth="1"/>
    <col min="27" max="27" width="10.42578125" bestFit="1" customWidth="1"/>
    <col min="28" max="28" width="11.85546875" bestFit="1" customWidth="1"/>
    <col min="29" max="30" width="8.42578125" bestFit="1" customWidth="1"/>
    <col min="31" max="31" width="10.140625" bestFit="1" customWidth="1"/>
    <col min="32" max="32" width="10" bestFit="1" customWidth="1"/>
    <col min="33" max="33" width="11.7109375" bestFit="1" customWidth="1"/>
    <col min="34" max="34" width="9.7109375" bestFit="1" customWidth="1"/>
    <col min="35" max="35" width="10.42578125" bestFit="1" customWidth="1"/>
    <col min="36" max="36" width="10" bestFit="1" customWidth="1"/>
    <col min="37" max="37" width="11.28515625" bestFit="1" customWidth="1"/>
    <col min="38" max="38" width="9.28515625" bestFit="1" customWidth="1"/>
    <col min="39" max="39" width="10.7109375" bestFit="1" customWidth="1"/>
    <col min="40" max="40" width="8.5703125" bestFit="1" customWidth="1"/>
    <col min="41" max="41" width="11.140625" bestFit="1" customWidth="1"/>
    <col min="42" max="42" width="10.140625" bestFit="1" customWidth="1"/>
    <col min="43" max="43" width="10" bestFit="1" customWidth="1"/>
    <col min="44" max="44" width="9.28515625" bestFit="1" customWidth="1"/>
    <col min="45" max="45" width="10.140625" bestFit="1" customWidth="1"/>
    <col min="46" max="46" width="13" bestFit="1" customWidth="1"/>
    <col min="56" max="56" width="10.5703125" bestFit="1" customWidth="1"/>
    <col min="58" max="58" width="10.5703125" bestFit="1" customWidth="1"/>
    <col min="59" max="77" width="8.85546875" style="24"/>
  </cols>
  <sheetData>
    <row r="1" spans="1:77" x14ac:dyDescent="0.25">
      <c r="A1" t="s">
        <v>408</v>
      </c>
      <c r="B1" t="s">
        <v>372</v>
      </c>
      <c r="C1" t="s">
        <v>520</v>
      </c>
      <c r="D1" t="s">
        <v>521</v>
      </c>
      <c r="E1" t="s">
        <v>374</v>
      </c>
      <c r="F1" t="s">
        <v>522</v>
      </c>
      <c r="G1" t="s">
        <v>376</v>
      </c>
      <c r="H1" t="s">
        <v>377</v>
      </c>
      <c r="I1" t="s">
        <v>378</v>
      </c>
      <c r="J1" t="s">
        <v>523</v>
      </c>
      <c r="K1" t="s">
        <v>524</v>
      </c>
      <c r="L1" t="s">
        <v>525</v>
      </c>
      <c r="M1" t="s">
        <v>526</v>
      </c>
      <c r="N1" t="s">
        <v>527</v>
      </c>
      <c r="O1" t="s">
        <v>528</v>
      </c>
      <c r="P1" t="s">
        <v>529</v>
      </c>
      <c r="Q1" t="s">
        <v>383</v>
      </c>
      <c r="R1" t="s">
        <v>384</v>
      </c>
      <c r="S1" t="s">
        <v>530</v>
      </c>
      <c r="T1" t="s">
        <v>620</v>
      </c>
      <c r="U1" t="s">
        <v>621</v>
      </c>
      <c r="V1" t="s">
        <v>519</v>
      </c>
      <c r="AC1">
        <f>VaR!AD1</f>
        <v>60</v>
      </c>
      <c r="AF1" t="e" cm="1" vm="3">
        <f t="array" ref="AF1">_xlfn._xlws.PY(0,1,Table2__2[#All])</f>
        <v>#VALUE!</v>
      </c>
      <c r="AH1" t="e" cm="1" vm="4">
        <f t="array" ref="AH1">_xlfn._xlws.PY(4,1,AC1)</f>
        <v>#VALUE!</v>
      </c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</row>
    <row r="2" spans="1:77" x14ac:dyDescent="0.25">
      <c r="A2" s="2">
        <v>46311</v>
      </c>
      <c r="B2">
        <v>660.5</v>
      </c>
      <c r="C2">
        <v>704</v>
      </c>
      <c r="D2">
        <v>6.7649999999999997</v>
      </c>
      <c r="E2">
        <v>474.25</v>
      </c>
      <c r="F2">
        <v>1261.25</v>
      </c>
      <c r="G2">
        <v>357.1</v>
      </c>
      <c r="H2">
        <v>67.13</v>
      </c>
      <c r="I2">
        <v>4676</v>
      </c>
      <c r="J2">
        <v>9418</v>
      </c>
      <c r="K2">
        <v>3299</v>
      </c>
      <c r="L2">
        <v>8834</v>
      </c>
      <c r="M2">
        <v>2345</v>
      </c>
      <c r="N2">
        <v>10311</v>
      </c>
      <c r="O2">
        <v>552</v>
      </c>
      <c r="P2">
        <v>811.6</v>
      </c>
      <c r="Q2">
        <v>2.1</v>
      </c>
      <c r="R2">
        <v>4.7232000000000003</v>
      </c>
      <c r="S2">
        <v>1369.5</v>
      </c>
      <c r="T2">
        <v>99.02</v>
      </c>
      <c r="U2">
        <v>106.82</v>
      </c>
      <c r="V2">
        <v>3.1442999999999999</v>
      </c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</row>
    <row r="3" spans="1:77" x14ac:dyDescent="0.25">
      <c r="A3" s="2">
        <v>46310</v>
      </c>
      <c r="B3">
        <v>670</v>
      </c>
      <c r="C3">
        <v>713</v>
      </c>
      <c r="D3">
        <v>6.86</v>
      </c>
      <c r="E3">
        <v>478</v>
      </c>
      <c r="F3">
        <v>1263</v>
      </c>
      <c r="G3">
        <v>359.8</v>
      </c>
      <c r="H3">
        <v>67.150000000000006</v>
      </c>
      <c r="I3">
        <v>4619</v>
      </c>
      <c r="J3">
        <v>9566</v>
      </c>
      <c r="K3">
        <v>3340</v>
      </c>
      <c r="L3">
        <v>8921</v>
      </c>
      <c r="M3">
        <v>2370</v>
      </c>
      <c r="N3">
        <v>10318</v>
      </c>
      <c r="O3">
        <v>554.75</v>
      </c>
      <c r="P3">
        <v>813.7</v>
      </c>
      <c r="Q3">
        <v>2.0950000000000002</v>
      </c>
      <c r="R3">
        <v>4.6544999999999996</v>
      </c>
      <c r="S3">
        <v>1386.75</v>
      </c>
      <c r="T3">
        <v>96.5</v>
      </c>
      <c r="U3">
        <v>103.17</v>
      </c>
      <c r="V3">
        <v>3.0798000000000001</v>
      </c>
      <c r="AH3" t="e" cm="1" vm="5">
        <f t="array" ref="AH3">_xlfn._xlws.PY(5,0)</f>
        <v>#VALUE!</v>
      </c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</row>
    <row r="4" spans="1:77" x14ac:dyDescent="0.25">
      <c r="A4" s="2">
        <v>46309</v>
      </c>
      <c r="B4">
        <v>673.25</v>
      </c>
      <c r="C4">
        <v>715</v>
      </c>
      <c r="D4">
        <v>6.9</v>
      </c>
      <c r="E4">
        <v>480.75</v>
      </c>
      <c r="F4">
        <v>1277.25</v>
      </c>
      <c r="G4">
        <v>364.5</v>
      </c>
      <c r="H4">
        <v>67.06</v>
      </c>
      <c r="I4">
        <v>4700</v>
      </c>
      <c r="J4">
        <v>9741</v>
      </c>
      <c r="K4">
        <v>3373</v>
      </c>
      <c r="L4">
        <v>9033</v>
      </c>
      <c r="M4">
        <v>2393</v>
      </c>
      <c r="N4">
        <v>10459</v>
      </c>
      <c r="O4">
        <v>559.25</v>
      </c>
      <c r="P4">
        <v>824.6</v>
      </c>
      <c r="Q4">
        <v>2.0750000000000002</v>
      </c>
      <c r="R4">
        <v>4.7507999999999999</v>
      </c>
      <c r="S4">
        <v>1404</v>
      </c>
      <c r="T4">
        <v>93.9</v>
      </c>
      <c r="U4">
        <v>103.4</v>
      </c>
      <c r="V4">
        <v>3.1419999999999999</v>
      </c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</row>
    <row r="5" spans="1:77" x14ac:dyDescent="0.25">
      <c r="A5" s="2">
        <v>46308</v>
      </c>
      <c r="B5">
        <v>669.25</v>
      </c>
      <c r="C5">
        <v>712.25</v>
      </c>
      <c r="D5">
        <v>6.94</v>
      </c>
      <c r="E5">
        <v>482.75</v>
      </c>
      <c r="F5">
        <v>1283.75</v>
      </c>
      <c r="G5">
        <v>363.2</v>
      </c>
      <c r="H5">
        <v>68.02</v>
      </c>
      <c r="I5">
        <v>4682</v>
      </c>
      <c r="J5">
        <v>9639</v>
      </c>
      <c r="K5">
        <v>3373</v>
      </c>
      <c r="L5">
        <v>8962</v>
      </c>
      <c r="M5">
        <v>2378</v>
      </c>
      <c r="N5">
        <v>10394</v>
      </c>
      <c r="O5">
        <v>559.25</v>
      </c>
      <c r="P5">
        <v>826.6</v>
      </c>
      <c r="Q5">
        <v>2.09</v>
      </c>
      <c r="R5">
        <v>4.7766000000000002</v>
      </c>
      <c r="S5">
        <v>1410.75</v>
      </c>
      <c r="T5">
        <v>93.17</v>
      </c>
      <c r="U5">
        <v>102.91</v>
      </c>
      <c r="V5">
        <v>3.1337999999999999</v>
      </c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</row>
    <row r="6" spans="1:77" x14ac:dyDescent="0.25">
      <c r="A6" s="2">
        <v>46307</v>
      </c>
      <c r="B6">
        <v>672.25</v>
      </c>
      <c r="C6">
        <v>715.25</v>
      </c>
      <c r="D6">
        <v>6.9625000000000004</v>
      </c>
      <c r="E6">
        <v>483</v>
      </c>
      <c r="F6">
        <v>1287.75</v>
      </c>
      <c r="G6">
        <v>368.7</v>
      </c>
      <c r="H6">
        <v>68.63</v>
      </c>
      <c r="I6">
        <v>4637</v>
      </c>
      <c r="J6">
        <v>9700</v>
      </c>
      <c r="K6">
        <v>3383</v>
      </c>
      <c r="L6">
        <v>9008</v>
      </c>
      <c r="M6">
        <v>2368</v>
      </c>
      <c r="N6">
        <v>10374</v>
      </c>
      <c r="O6">
        <v>552.25</v>
      </c>
      <c r="Q6">
        <v>2.11</v>
      </c>
      <c r="R6">
        <v>4.5868000000000002</v>
      </c>
      <c r="S6">
        <v>1371.25</v>
      </c>
      <c r="T6">
        <v>92.86</v>
      </c>
      <c r="U6">
        <v>103.2</v>
      </c>
      <c r="V6">
        <v>3.1705999999999999</v>
      </c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</row>
    <row r="7" spans="1:77" x14ac:dyDescent="0.25">
      <c r="A7" s="2">
        <v>46304</v>
      </c>
      <c r="B7">
        <v>671</v>
      </c>
      <c r="C7">
        <v>719.25</v>
      </c>
      <c r="D7">
        <v>6.9524999999999997</v>
      </c>
      <c r="E7">
        <v>479.75</v>
      </c>
      <c r="F7">
        <v>1292</v>
      </c>
      <c r="G7">
        <v>365.6</v>
      </c>
      <c r="H7">
        <v>68.02</v>
      </c>
      <c r="I7">
        <v>4592</v>
      </c>
      <c r="J7">
        <v>9662</v>
      </c>
      <c r="K7">
        <v>3389</v>
      </c>
      <c r="L7">
        <v>8995</v>
      </c>
      <c r="M7">
        <v>2365</v>
      </c>
      <c r="N7">
        <v>10301</v>
      </c>
      <c r="O7">
        <v>555.75</v>
      </c>
      <c r="P7">
        <v>829.8</v>
      </c>
      <c r="Q7">
        <v>2.0674999999999999</v>
      </c>
      <c r="R7">
        <v>4.5884</v>
      </c>
      <c r="S7">
        <v>1376</v>
      </c>
      <c r="T7">
        <v>91.01</v>
      </c>
      <c r="U7">
        <v>101.25</v>
      </c>
      <c r="V7">
        <v>3.1534</v>
      </c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</row>
    <row r="8" spans="1:77" x14ac:dyDescent="0.25">
      <c r="A8" s="2">
        <v>46303</v>
      </c>
      <c r="B8">
        <v>683.25</v>
      </c>
      <c r="C8">
        <v>736.25</v>
      </c>
      <c r="D8">
        <v>7.06</v>
      </c>
      <c r="E8">
        <v>500.25</v>
      </c>
      <c r="F8">
        <v>1287.5</v>
      </c>
      <c r="G8">
        <v>357.6</v>
      </c>
      <c r="H8">
        <v>67.92</v>
      </c>
      <c r="I8">
        <v>4661</v>
      </c>
      <c r="J8">
        <v>9564</v>
      </c>
      <c r="K8">
        <v>3388</v>
      </c>
      <c r="L8">
        <v>8933</v>
      </c>
      <c r="M8">
        <v>2352</v>
      </c>
      <c r="N8">
        <v>10277</v>
      </c>
      <c r="O8">
        <v>557.25</v>
      </c>
      <c r="P8">
        <v>828.9</v>
      </c>
      <c r="Q8">
        <v>2.085</v>
      </c>
      <c r="R8">
        <v>4.7164999999999999</v>
      </c>
      <c r="S8">
        <v>1391.25</v>
      </c>
      <c r="T8">
        <v>90.75</v>
      </c>
      <c r="U8">
        <v>100.96</v>
      </c>
      <c r="V8">
        <v>3.1596000000000002</v>
      </c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</row>
    <row r="9" spans="1:77" x14ac:dyDescent="0.25">
      <c r="A9" s="2">
        <v>46302</v>
      </c>
      <c r="B9">
        <v>686.5</v>
      </c>
      <c r="C9">
        <v>738.5</v>
      </c>
      <c r="D9">
        <v>7.1025</v>
      </c>
      <c r="E9">
        <v>502</v>
      </c>
      <c r="F9">
        <v>1297.5</v>
      </c>
      <c r="G9">
        <v>365.8</v>
      </c>
      <c r="H9">
        <v>67.680000000000007</v>
      </c>
      <c r="I9">
        <v>4524</v>
      </c>
      <c r="O9">
        <v>552.75</v>
      </c>
      <c r="P9">
        <v>822.9</v>
      </c>
      <c r="Q9">
        <v>2.0699999999999998</v>
      </c>
      <c r="R9">
        <v>4.4766000000000004</v>
      </c>
      <c r="S9">
        <v>1333</v>
      </c>
      <c r="T9">
        <v>87.55</v>
      </c>
      <c r="U9">
        <v>97.45</v>
      </c>
      <c r="V9">
        <v>3.0710999999999999</v>
      </c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</row>
    <row r="10" spans="1:77" x14ac:dyDescent="0.25">
      <c r="A10" s="2">
        <v>46301</v>
      </c>
      <c r="B10">
        <v>704.25</v>
      </c>
      <c r="C10">
        <v>756.25</v>
      </c>
      <c r="D10">
        <v>7.1974999999999998</v>
      </c>
      <c r="E10">
        <v>508</v>
      </c>
      <c r="F10">
        <v>1303</v>
      </c>
      <c r="G10">
        <v>354.8</v>
      </c>
      <c r="H10">
        <v>69.91</v>
      </c>
      <c r="I10">
        <v>4560</v>
      </c>
      <c r="O10">
        <v>561</v>
      </c>
      <c r="P10">
        <v>839</v>
      </c>
      <c r="Q10">
        <v>2.08</v>
      </c>
      <c r="R10">
        <v>4.4230999999999998</v>
      </c>
      <c r="S10">
        <v>1257</v>
      </c>
      <c r="T10">
        <v>88.43</v>
      </c>
      <c r="U10">
        <v>97.59</v>
      </c>
      <c r="V10">
        <v>3.0880000000000001</v>
      </c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</row>
    <row r="11" spans="1:77" x14ac:dyDescent="0.25">
      <c r="A11" s="2">
        <v>46300</v>
      </c>
      <c r="B11">
        <v>692.25</v>
      </c>
      <c r="C11">
        <v>742.25</v>
      </c>
      <c r="D11">
        <v>7.085</v>
      </c>
      <c r="E11">
        <v>497.25</v>
      </c>
      <c r="F11">
        <v>1280.75</v>
      </c>
      <c r="G11">
        <v>347.1</v>
      </c>
      <c r="H11">
        <v>69.349999999999994</v>
      </c>
      <c r="I11">
        <v>4578</v>
      </c>
      <c r="O11">
        <v>558</v>
      </c>
      <c r="P11">
        <v>832.8</v>
      </c>
      <c r="Q11">
        <v>2.0550000000000002</v>
      </c>
      <c r="R11">
        <v>4.4001000000000001</v>
      </c>
      <c r="S11">
        <v>1301.5</v>
      </c>
      <c r="T11">
        <v>88.2</v>
      </c>
      <c r="U11">
        <v>97.58</v>
      </c>
      <c r="V11">
        <v>3.0718999999999999</v>
      </c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</row>
    <row r="12" spans="1:77" x14ac:dyDescent="0.25">
      <c r="A12" s="2">
        <v>46297</v>
      </c>
      <c r="B12">
        <v>683</v>
      </c>
      <c r="C12">
        <v>735.25</v>
      </c>
      <c r="D12">
        <v>6.98</v>
      </c>
      <c r="E12">
        <v>497.75</v>
      </c>
      <c r="F12">
        <v>1278.25</v>
      </c>
      <c r="G12">
        <v>347.5</v>
      </c>
      <c r="H12">
        <v>68.62</v>
      </c>
      <c r="I12">
        <v>4535</v>
      </c>
      <c r="O12">
        <v>555.25</v>
      </c>
      <c r="P12">
        <v>828.7</v>
      </c>
      <c r="Q12">
        <v>2.1</v>
      </c>
      <c r="R12">
        <v>4.3573000000000004</v>
      </c>
      <c r="S12">
        <v>1265.5</v>
      </c>
      <c r="T12">
        <v>89.43</v>
      </c>
      <c r="U12">
        <v>98.71</v>
      </c>
      <c r="V12">
        <v>3.1118999999999999</v>
      </c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</row>
    <row r="13" spans="1:77" x14ac:dyDescent="0.25">
      <c r="A13" s="2">
        <v>46296</v>
      </c>
      <c r="B13">
        <v>682.75</v>
      </c>
      <c r="C13">
        <v>737.5</v>
      </c>
      <c r="D13">
        <v>6.9675000000000002</v>
      </c>
      <c r="E13">
        <v>502.25</v>
      </c>
      <c r="F13">
        <v>1284</v>
      </c>
      <c r="G13">
        <v>353.3</v>
      </c>
      <c r="H13">
        <v>67.38</v>
      </c>
      <c r="I13">
        <v>4554</v>
      </c>
      <c r="O13">
        <v>551.75</v>
      </c>
      <c r="P13">
        <v>825.2</v>
      </c>
      <c r="Q13">
        <v>2.1150000000000002</v>
      </c>
      <c r="R13">
        <v>4.4905999999999997</v>
      </c>
      <c r="S13">
        <v>1335.75</v>
      </c>
      <c r="T13">
        <v>90.84</v>
      </c>
      <c r="U13">
        <v>98.43</v>
      </c>
      <c r="V13">
        <v>3.1728999999999998</v>
      </c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</row>
    <row r="14" spans="1:77" x14ac:dyDescent="0.25">
      <c r="A14" s="2">
        <v>46295</v>
      </c>
      <c r="B14">
        <v>675.75</v>
      </c>
      <c r="C14">
        <v>733</v>
      </c>
      <c r="D14">
        <v>6.9325000000000001</v>
      </c>
      <c r="E14">
        <v>500.75</v>
      </c>
      <c r="F14">
        <v>1293</v>
      </c>
      <c r="G14">
        <v>356.9</v>
      </c>
      <c r="H14">
        <v>68.28</v>
      </c>
      <c r="I14">
        <v>4610</v>
      </c>
      <c r="J14">
        <v>9593</v>
      </c>
      <c r="K14">
        <v>3369</v>
      </c>
      <c r="L14">
        <v>8934</v>
      </c>
      <c r="M14">
        <v>2332</v>
      </c>
      <c r="N14">
        <v>10217</v>
      </c>
      <c r="O14">
        <v>554</v>
      </c>
      <c r="Q14">
        <v>2.14</v>
      </c>
      <c r="R14">
        <v>4.5068000000000001</v>
      </c>
      <c r="S14">
        <v>1350.25</v>
      </c>
      <c r="T14">
        <v>88.42</v>
      </c>
      <c r="U14">
        <v>95.09</v>
      </c>
      <c r="V14">
        <v>3.0472000000000001</v>
      </c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</row>
    <row r="15" spans="1:77" x14ac:dyDescent="0.25">
      <c r="A15" s="2">
        <v>46294</v>
      </c>
      <c r="B15">
        <v>692.75</v>
      </c>
      <c r="C15">
        <v>743</v>
      </c>
      <c r="D15">
        <v>6.9924999999999997</v>
      </c>
      <c r="E15">
        <v>522</v>
      </c>
      <c r="F15">
        <v>1297.75</v>
      </c>
      <c r="G15">
        <v>359</v>
      </c>
      <c r="H15">
        <v>68.36</v>
      </c>
      <c r="I15">
        <v>4624</v>
      </c>
      <c r="J15">
        <v>9571</v>
      </c>
      <c r="K15">
        <v>3347</v>
      </c>
      <c r="L15">
        <v>8855</v>
      </c>
      <c r="M15">
        <v>2298</v>
      </c>
      <c r="N15">
        <v>10044</v>
      </c>
      <c r="O15">
        <v>557.75</v>
      </c>
      <c r="P15">
        <v>837.1</v>
      </c>
      <c r="Q15">
        <v>2.145</v>
      </c>
      <c r="R15">
        <v>4.3323</v>
      </c>
      <c r="S15">
        <v>1297.25</v>
      </c>
      <c r="T15">
        <v>87.25</v>
      </c>
      <c r="U15">
        <v>93.51</v>
      </c>
      <c r="V15">
        <v>2.9459</v>
      </c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</row>
    <row r="16" spans="1:77" x14ac:dyDescent="0.25">
      <c r="A16" s="2">
        <v>46293</v>
      </c>
      <c r="B16">
        <v>688.75</v>
      </c>
      <c r="C16">
        <v>745.75</v>
      </c>
      <c r="D16">
        <v>7.0175000000000001</v>
      </c>
      <c r="E16">
        <v>523</v>
      </c>
      <c r="F16">
        <v>1288.25</v>
      </c>
      <c r="G16">
        <v>359.4</v>
      </c>
      <c r="H16">
        <v>67.66</v>
      </c>
      <c r="I16">
        <v>4664</v>
      </c>
      <c r="J16">
        <v>9675</v>
      </c>
      <c r="K16">
        <v>3386</v>
      </c>
      <c r="L16">
        <v>8883</v>
      </c>
      <c r="M16">
        <v>2337</v>
      </c>
      <c r="N16">
        <v>10134</v>
      </c>
      <c r="O16">
        <v>548.25</v>
      </c>
      <c r="P16">
        <v>821.8</v>
      </c>
      <c r="Q16">
        <v>2.1850000000000001</v>
      </c>
      <c r="R16">
        <v>4.3681000000000001</v>
      </c>
      <c r="S16">
        <v>1336.75</v>
      </c>
      <c r="T16">
        <v>89.01</v>
      </c>
      <c r="U16">
        <v>94.4</v>
      </c>
      <c r="V16">
        <v>2.968</v>
      </c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</row>
    <row r="17" spans="1:77" x14ac:dyDescent="0.25">
      <c r="A17" s="2">
        <v>46290</v>
      </c>
      <c r="B17">
        <v>703.25</v>
      </c>
      <c r="C17">
        <v>762</v>
      </c>
      <c r="D17">
        <v>7.1349999999999998</v>
      </c>
      <c r="E17">
        <v>528.25</v>
      </c>
      <c r="F17">
        <v>1319</v>
      </c>
      <c r="G17">
        <v>371</v>
      </c>
      <c r="H17">
        <v>67.84</v>
      </c>
      <c r="I17">
        <v>4672</v>
      </c>
      <c r="O17">
        <v>557.5</v>
      </c>
      <c r="P17">
        <v>841.4</v>
      </c>
      <c r="Q17">
        <v>2.21</v>
      </c>
      <c r="R17">
        <v>4.3746</v>
      </c>
      <c r="S17">
        <v>1346.25</v>
      </c>
      <c r="T17">
        <v>88.71</v>
      </c>
      <c r="U17">
        <v>94.11</v>
      </c>
      <c r="V17">
        <v>2.9826999999999999</v>
      </c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</row>
    <row r="18" spans="1:77" x14ac:dyDescent="0.25">
      <c r="A18" s="2">
        <v>46289</v>
      </c>
      <c r="B18">
        <v>707</v>
      </c>
      <c r="C18">
        <v>767</v>
      </c>
      <c r="D18">
        <v>7.2024999999999997</v>
      </c>
      <c r="E18">
        <v>527.5</v>
      </c>
      <c r="F18">
        <v>1317.5</v>
      </c>
      <c r="G18">
        <v>372.4</v>
      </c>
      <c r="H18">
        <v>67.55</v>
      </c>
      <c r="I18">
        <v>4772</v>
      </c>
      <c r="J18">
        <v>9787</v>
      </c>
      <c r="K18">
        <v>3405</v>
      </c>
      <c r="L18">
        <v>8943</v>
      </c>
      <c r="M18">
        <v>2347</v>
      </c>
      <c r="N18">
        <v>10236</v>
      </c>
      <c r="O18">
        <v>557.75</v>
      </c>
      <c r="P18">
        <v>841.2</v>
      </c>
      <c r="Q18">
        <v>2.1800000000000002</v>
      </c>
      <c r="R18">
        <v>4.4196999999999997</v>
      </c>
      <c r="S18">
        <v>1385.5</v>
      </c>
      <c r="T18">
        <v>90.9</v>
      </c>
      <c r="U18">
        <v>96.42</v>
      </c>
      <c r="V18">
        <v>3.0950000000000002</v>
      </c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</row>
    <row r="19" spans="1:77" x14ac:dyDescent="0.25">
      <c r="A19" s="2">
        <v>46288</v>
      </c>
      <c r="B19">
        <v>708.5</v>
      </c>
      <c r="C19">
        <v>771.75</v>
      </c>
      <c r="D19">
        <v>7.2874999999999996</v>
      </c>
      <c r="E19">
        <v>529</v>
      </c>
      <c r="F19">
        <v>1318</v>
      </c>
      <c r="G19">
        <v>370.6</v>
      </c>
      <c r="H19">
        <v>67.81</v>
      </c>
      <c r="I19">
        <v>4768</v>
      </c>
      <c r="J19">
        <v>9740</v>
      </c>
      <c r="K19">
        <v>3414</v>
      </c>
      <c r="L19">
        <v>8927</v>
      </c>
      <c r="M19">
        <v>2361</v>
      </c>
      <c r="N19">
        <v>10145</v>
      </c>
      <c r="O19">
        <v>561.75</v>
      </c>
      <c r="P19">
        <v>837.2</v>
      </c>
      <c r="Q19">
        <v>2.1749999999999998</v>
      </c>
      <c r="R19">
        <v>4.5171000000000001</v>
      </c>
      <c r="S19">
        <v>1344</v>
      </c>
      <c r="T19">
        <v>89.51</v>
      </c>
      <c r="U19">
        <v>95.03</v>
      </c>
      <c r="V19">
        <v>3.0750999999999999</v>
      </c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</row>
    <row r="20" spans="1:77" x14ac:dyDescent="0.25">
      <c r="A20" s="2">
        <v>46287</v>
      </c>
      <c r="B20">
        <v>717.25</v>
      </c>
      <c r="C20">
        <v>781.25</v>
      </c>
      <c r="D20">
        <v>7.3624999999999998</v>
      </c>
      <c r="E20">
        <v>536.75</v>
      </c>
      <c r="F20">
        <v>1325.5</v>
      </c>
      <c r="G20">
        <v>370.7</v>
      </c>
      <c r="H20">
        <v>67.92</v>
      </c>
      <c r="I20">
        <v>4810</v>
      </c>
      <c r="J20">
        <v>9859</v>
      </c>
      <c r="K20">
        <v>3410</v>
      </c>
      <c r="L20">
        <v>8946</v>
      </c>
      <c r="M20">
        <v>2362</v>
      </c>
      <c r="N20">
        <v>10243</v>
      </c>
      <c r="O20">
        <v>560</v>
      </c>
      <c r="P20">
        <v>836.1</v>
      </c>
      <c r="Q20">
        <v>2.1850000000000001</v>
      </c>
      <c r="R20">
        <v>4.5488999999999997</v>
      </c>
      <c r="S20">
        <v>1311</v>
      </c>
      <c r="T20">
        <v>87.98</v>
      </c>
      <c r="U20">
        <v>92.74</v>
      </c>
      <c r="V20">
        <v>2.9699</v>
      </c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</row>
    <row r="21" spans="1:77" x14ac:dyDescent="0.25">
      <c r="A21" s="2">
        <v>46286</v>
      </c>
      <c r="B21">
        <v>726.75</v>
      </c>
      <c r="C21">
        <v>794.5</v>
      </c>
      <c r="D21">
        <v>7.4625000000000004</v>
      </c>
      <c r="E21">
        <v>543</v>
      </c>
      <c r="F21">
        <v>1328</v>
      </c>
      <c r="G21">
        <v>368.4</v>
      </c>
      <c r="H21">
        <v>68.849999999999994</v>
      </c>
      <c r="I21">
        <v>4857</v>
      </c>
      <c r="J21">
        <v>9876</v>
      </c>
      <c r="K21">
        <v>3391</v>
      </c>
      <c r="L21">
        <v>8897</v>
      </c>
      <c r="M21">
        <v>2347</v>
      </c>
      <c r="N21">
        <v>10186</v>
      </c>
      <c r="O21">
        <v>563.25</v>
      </c>
      <c r="P21">
        <v>846.8</v>
      </c>
      <c r="Q21">
        <v>2.19</v>
      </c>
      <c r="R21">
        <v>4.4851000000000001</v>
      </c>
      <c r="S21">
        <v>1305.75</v>
      </c>
      <c r="T21">
        <v>89.16</v>
      </c>
      <c r="U21">
        <v>93.4</v>
      </c>
      <c r="V21">
        <v>2.9445000000000001</v>
      </c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</row>
    <row r="22" spans="1:77" x14ac:dyDescent="0.25">
      <c r="A22" s="2">
        <v>46283</v>
      </c>
      <c r="B22">
        <v>714.25</v>
      </c>
      <c r="C22">
        <v>783.75</v>
      </c>
      <c r="D22">
        <v>7.4124999999999996</v>
      </c>
      <c r="E22">
        <v>527.5</v>
      </c>
      <c r="F22">
        <v>1303.5</v>
      </c>
      <c r="G22">
        <v>358.6</v>
      </c>
      <c r="H22">
        <v>68.22</v>
      </c>
      <c r="I22">
        <v>4898</v>
      </c>
      <c r="J22">
        <v>9907</v>
      </c>
      <c r="K22">
        <v>3429</v>
      </c>
      <c r="L22">
        <v>8905</v>
      </c>
      <c r="M22">
        <v>2389</v>
      </c>
      <c r="N22">
        <v>10113</v>
      </c>
      <c r="O22">
        <v>557.25</v>
      </c>
      <c r="P22">
        <v>833</v>
      </c>
      <c r="Q22">
        <v>2.16</v>
      </c>
      <c r="R22">
        <v>4.5875000000000004</v>
      </c>
      <c r="S22">
        <v>1351.75</v>
      </c>
      <c r="T22">
        <v>92.05</v>
      </c>
      <c r="U22">
        <v>96.03</v>
      </c>
      <c r="V22">
        <v>3.0015000000000001</v>
      </c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</row>
    <row r="23" spans="1:77" x14ac:dyDescent="0.25">
      <c r="A23" s="2">
        <v>46282</v>
      </c>
      <c r="B23">
        <v>727</v>
      </c>
      <c r="C23">
        <v>794.5</v>
      </c>
      <c r="D23">
        <v>7.5250000000000004</v>
      </c>
      <c r="E23">
        <v>530.5</v>
      </c>
      <c r="F23">
        <v>1319.75</v>
      </c>
      <c r="G23">
        <v>371.3</v>
      </c>
      <c r="H23">
        <v>69.150000000000006</v>
      </c>
      <c r="I23">
        <v>4936</v>
      </c>
      <c r="J23">
        <v>10070</v>
      </c>
      <c r="K23">
        <v>3480</v>
      </c>
      <c r="L23">
        <v>9017</v>
      </c>
      <c r="M23">
        <v>2421</v>
      </c>
      <c r="N23">
        <v>10211</v>
      </c>
      <c r="O23">
        <v>556</v>
      </c>
      <c r="P23">
        <v>844.1</v>
      </c>
      <c r="Q23">
        <v>2.1349999999999998</v>
      </c>
      <c r="R23">
        <v>4.6261999999999999</v>
      </c>
      <c r="S23">
        <v>1338.25</v>
      </c>
      <c r="T23">
        <v>92.61</v>
      </c>
      <c r="U23">
        <v>96.15</v>
      </c>
      <c r="V23">
        <v>2.9994000000000001</v>
      </c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</row>
    <row r="24" spans="1:77" x14ac:dyDescent="0.25">
      <c r="A24" s="2">
        <v>46281</v>
      </c>
      <c r="B24">
        <v>730.75</v>
      </c>
      <c r="C24">
        <v>799.5</v>
      </c>
      <c r="D24">
        <v>7.56</v>
      </c>
      <c r="E24">
        <v>534.25</v>
      </c>
      <c r="F24">
        <v>1320.5</v>
      </c>
      <c r="G24">
        <v>365.6</v>
      </c>
      <c r="H24">
        <v>69.67</v>
      </c>
      <c r="J24">
        <v>10066</v>
      </c>
      <c r="K24">
        <v>3434</v>
      </c>
      <c r="L24">
        <v>9000</v>
      </c>
      <c r="M24">
        <v>2372</v>
      </c>
      <c r="N24">
        <v>10169</v>
      </c>
      <c r="O24">
        <v>556.75</v>
      </c>
      <c r="P24">
        <v>837.8</v>
      </c>
      <c r="Q24">
        <v>2.105</v>
      </c>
      <c r="R24">
        <v>4.7154999999999996</v>
      </c>
      <c r="S24">
        <v>1364</v>
      </c>
      <c r="T24">
        <v>92.79</v>
      </c>
      <c r="U24">
        <v>96.69</v>
      </c>
      <c r="V24">
        <v>2.9870999999999999</v>
      </c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</row>
    <row r="25" spans="1:77" x14ac:dyDescent="0.25">
      <c r="A25" s="2">
        <v>46280</v>
      </c>
      <c r="B25">
        <v>728.5</v>
      </c>
      <c r="C25">
        <v>796.25</v>
      </c>
      <c r="D25">
        <v>7.4850000000000003</v>
      </c>
      <c r="E25">
        <v>535.75</v>
      </c>
      <c r="F25">
        <v>1318.75</v>
      </c>
      <c r="G25">
        <v>365.4</v>
      </c>
      <c r="H25">
        <v>70.349999999999994</v>
      </c>
      <c r="I25">
        <v>4998</v>
      </c>
      <c r="J25">
        <v>10031</v>
      </c>
      <c r="K25">
        <v>3374</v>
      </c>
      <c r="L25">
        <v>8960</v>
      </c>
      <c r="M25">
        <v>2330</v>
      </c>
      <c r="N25">
        <v>10101</v>
      </c>
      <c r="O25">
        <v>558.5</v>
      </c>
      <c r="P25">
        <v>840.9</v>
      </c>
      <c r="Q25">
        <v>2.105</v>
      </c>
      <c r="R25">
        <v>4.7351999999999999</v>
      </c>
      <c r="S25">
        <v>1391.75</v>
      </c>
      <c r="T25">
        <v>95.51</v>
      </c>
      <c r="U25">
        <v>98.75</v>
      </c>
      <c r="V25">
        <v>3.0293000000000001</v>
      </c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</row>
    <row r="26" spans="1:77" x14ac:dyDescent="0.25">
      <c r="A26" s="2">
        <v>46279</v>
      </c>
      <c r="B26">
        <v>722</v>
      </c>
      <c r="C26">
        <v>792.5</v>
      </c>
      <c r="D26">
        <v>7.3624999999999998</v>
      </c>
      <c r="E26">
        <v>533.25</v>
      </c>
      <c r="F26">
        <v>1304.25</v>
      </c>
      <c r="G26">
        <v>356.2</v>
      </c>
      <c r="H26">
        <v>70.19</v>
      </c>
      <c r="I26">
        <v>4958</v>
      </c>
      <c r="J26">
        <v>10038</v>
      </c>
      <c r="K26">
        <v>3384</v>
      </c>
      <c r="L26">
        <v>9024</v>
      </c>
      <c r="M26">
        <v>2349</v>
      </c>
      <c r="N26">
        <v>10192</v>
      </c>
      <c r="O26">
        <v>555.5</v>
      </c>
      <c r="P26">
        <v>834.3</v>
      </c>
      <c r="Q26">
        <v>2.0699999999999998</v>
      </c>
      <c r="R26">
        <v>4.54</v>
      </c>
      <c r="S26">
        <v>1320.25</v>
      </c>
      <c r="T26">
        <v>92.6</v>
      </c>
      <c r="U26">
        <v>96.85</v>
      </c>
      <c r="V26">
        <v>2.9521999999999999</v>
      </c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</row>
    <row r="27" spans="1:77" x14ac:dyDescent="0.25">
      <c r="A27" s="2">
        <v>46276</v>
      </c>
      <c r="B27">
        <v>725.25</v>
      </c>
      <c r="C27">
        <v>798.5</v>
      </c>
      <c r="D27">
        <v>7.45</v>
      </c>
      <c r="E27">
        <v>530.25</v>
      </c>
      <c r="F27">
        <v>1296.5</v>
      </c>
      <c r="G27">
        <v>352.8</v>
      </c>
      <c r="H27">
        <v>69.680000000000007</v>
      </c>
      <c r="I27">
        <v>4944</v>
      </c>
      <c r="J27">
        <v>10151</v>
      </c>
      <c r="K27">
        <v>3422</v>
      </c>
      <c r="L27">
        <v>9103</v>
      </c>
      <c r="M27">
        <v>2369</v>
      </c>
      <c r="N27">
        <v>10226</v>
      </c>
      <c r="O27">
        <v>553</v>
      </c>
      <c r="P27">
        <v>827.1</v>
      </c>
      <c r="Q27">
        <v>2.0649999999999999</v>
      </c>
      <c r="R27">
        <v>4.5583999999999998</v>
      </c>
      <c r="S27">
        <v>1320.5</v>
      </c>
      <c r="T27">
        <v>91.43</v>
      </c>
      <c r="U27">
        <v>95.69</v>
      </c>
      <c r="V27">
        <v>2.9390000000000001</v>
      </c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</row>
    <row r="28" spans="1:77" x14ac:dyDescent="0.25">
      <c r="A28" s="2">
        <v>46275</v>
      </c>
      <c r="B28">
        <v>741.25</v>
      </c>
      <c r="C28">
        <v>818.75</v>
      </c>
      <c r="D28">
        <v>7.625</v>
      </c>
      <c r="E28">
        <v>533.75</v>
      </c>
      <c r="F28">
        <v>1332.25</v>
      </c>
      <c r="G28">
        <v>356.9</v>
      </c>
      <c r="H28">
        <v>71.92</v>
      </c>
      <c r="I28">
        <v>5033</v>
      </c>
      <c r="J28">
        <v>10177</v>
      </c>
      <c r="K28">
        <v>3399</v>
      </c>
      <c r="L28">
        <v>9054</v>
      </c>
      <c r="M28">
        <v>2358</v>
      </c>
      <c r="N28">
        <v>10248</v>
      </c>
      <c r="O28">
        <v>559.25</v>
      </c>
      <c r="P28">
        <v>849.4</v>
      </c>
      <c r="Q28">
        <v>2.06</v>
      </c>
      <c r="R28">
        <v>4.6271000000000004</v>
      </c>
      <c r="S28">
        <v>1323.25</v>
      </c>
      <c r="T28">
        <v>93.93</v>
      </c>
      <c r="U28">
        <v>98.36</v>
      </c>
      <c r="V28">
        <v>3.024</v>
      </c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</row>
    <row r="29" spans="1:77" x14ac:dyDescent="0.25">
      <c r="A29" s="2">
        <v>46274</v>
      </c>
      <c r="B29">
        <v>728.75</v>
      </c>
      <c r="C29">
        <v>806.25</v>
      </c>
      <c r="D29">
        <v>7.48</v>
      </c>
      <c r="E29">
        <v>527.75</v>
      </c>
      <c r="F29">
        <v>1309.5</v>
      </c>
      <c r="G29">
        <v>351.4</v>
      </c>
      <c r="H29">
        <v>70.569999999999993</v>
      </c>
      <c r="I29">
        <v>5109</v>
      </c>
      <c r="J29">
        <v>10306</v>
      </c>
      <c r="K29">
        <v>3397</v>
      </c>
      <c r="L29">
        <v>9122</v>
      </c>
      <c r="M29">
        <v>2376</v>
      </c>
      <c r="N29">
        <v>10392</v>
      </c>
      <c r="O29">
        <v>559</v>
      </c>
      <c r="P29">
        <v>841.2</v>
      </c>
      <c r="Q29">
        <v>2.0299999999999998</v>
      </c>
      <c r="R29">
        <v>4.4345999999999997</v>
      </c>
      <c r="S29">
        <v>1257.75</v>
      </c>
      <c r="T29">
        <v>89.32</v>
      </c>
      <c r="U29">
        <v>93.6</v>
      </c>
      <c r="V29">
        <v>2.8969</v>
      </c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</row>
    <row r="30" spans="1:77" x14ac:dyDescent="0.25">
      <c r="A30" s="2">
        <v>46273</v>
      </c>
      <c r="B30">
        <v>747</v>
      </c>
      <c r="C30">
        <v>819</v>
      </c>
      <c r="D30">
        <v>7.54</v>
      </c>
      <c r="E30">
        <v>533.5</v>
      </c>
      <c r="F30">
        <v>1316.25</v>
      </c>
      <c r="G30">
        <v>349.8</v>
      </c>
      <c r="H30">
        <v>70.7</v>
      </c>
      <c r="I30">
        <v>5115</v>
      </c>
      <c r="J30">
        <v>10421</v>
      </c>
      <c r="K30">
        <v>3415</v>
      </c>
      <c r="L30">
        <v>9210</v>
      </c>
      <c r="M30">
        <v>2398</v>
      </c>
      <c r="N30">
        <v>10377</v>
      </c>
      <c r="O30">
        <v>558.75</v>
      </c>
      <c r="P30">
        <v>848.3</v>
      </c>
      <c r="Q30">
        <v>2.0550000000000002</v>
      </c>
      <c r="R30">
        <v>4.2526999999999999</v>
      </c>
      <c r="S30">
        <v>1225</v>
      </c>
      <c r="T30">
        <v>87.14</v>
      </c>
      <c r="U30">
        <v>91.3</v>
      </c>
      <c r="V30">
        <v>2.8931</v>
      </c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</row>
    <row r="31" spans="1:77" x14ac:dyDescent="0.25">
      <c r="A31" s="2">
        <v>46272</v>
      </c>
      <c r="I31">
        <v>5110</v>
      </c>
      <c r="J31">
        <v>10264</v>
      </c>
      <c r="K31">
        <v>3404</v>
      </c>
      <c r="L31">
        <v>9142</v>
      </c>
      <c r="M31">
        <v>2400</v>
      </c>
      <c r="N31">
        <v>10238</v>
      </c>
      <c r="O31">
        <v>556.5</v>
      </c>
      <c r="S31">
        <v>1237.25</v>
      </c>
      <c r="U31">
        <v>89.94</v>
      </c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</row>
    <row r="32" spans="1:77" x14ac:dyDescent="0.25">
      <c r="A32" s="2">
        <v>46269</v>
      </c>
      <c r="B32">
        <v>734</v>
      </c>
      <c r="C32">
        <v>802.25</v>
      </c>
      <c r="D32">
        <v>7.45</v>
      </c>
      <c r="E32">
        <v>536.75</v>
      </c>
      <c r="F32">
        <v>1309.75</v>
      </c>
      <c r="G32">
        <v>355.1</v>
      </c>
      <c r="H32">
        <v>69.27</v>
      </c>
      <c r="I32">
        <v>5054</v>
      </c>
      <c r="J32">
        <v>10212</v>
      </c>
      <c r="K32">
        <v>3402</v>
      </c>
      <c r="L32">
        <v>9144</v>
      </c>
      <c r="M32">
        <v>2397</v>
      </c>
      <c r="N32">
        <v>10152</v>
      </c>
      <c r="O32">
        <v>553.5</v>
      </c>
      <c r="P32">
        <v>832.7</v>
      </c>
      <c r="Q32">
        <v>2.08</v>
      </c>
      <c r="R32">
        <v>4.2091000000000003</v>
      </c>
      <c r="S32">
        <v>1200</v>
      </c>
      <c r="T32">
        <v>85.46</v>
      </c>
      <c r="U32">
        <v>89.15</v>
      </c>
      <c r="V32">
        <v>2.8344999999999998</v>
      </c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</row>
    <row r="33" spans="1:77" x14ac:dyDescent="0.25">
      <c r="A33" s="2">
        <v>46268</v>
      </c>
      <c r="B33">
        <v>754.25</v>
      </c>
      <c r="C33">
        <v>815.5</v>
      </c>
      <c r="D33">
        <v>7.6550000000000002</v>
      </c>
      <c r="E33">
        <v>540.75</v>
      </c>
      <c r="F33">
        <v>1316.25</v>
      </c>
      <c r="G33">
        <v>355.5</v>
      </c>
      <c r="H33">
        <v>70.040000000000006</v>
      </c>
      <c r="I33">
        <v>5018</v>
      </c>
      <c r="J33">
        <v>10270</v>
      </c>
      <c r="K33">
        <v>3386</v>
      </c>
      <c r="L33">
        <v>9182</v>
      </c>
      <c r="M33">
        <v>2393</v>
      </c>
      <c r="N33">
        <v>10226</v>
      </c>
      <c r="O33">
        <v>553</v>
      </c>
      <c r="P33">
        <v>839.5</v>
      </c>
      <c r="Q33">
        <v>2.0950000000000002</v>
      </c>
      <c r="R33">
        <v>4.2398999999999996</v>
      </c>
      <c r="S33">
        <v>1218.5</v>
      </c>
      <c r="T33">
        <v>84.79</v>
      </c>
      <c r="U33">
        <v>88.32</v>
      </c>
      <c r="V33">
        <v>2.7993000000000001</v>
      </c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</row>
    <row r="34" spans="1:77" x14ac:dyDescent="0.25">
      <c r="A34" s="2">
        <v>46267</v>
      </c>
      <c r="B34">
        <v>774</v>
      </c>
      <c r="C34">
        <v>834.25</v>
      </c>
      <c r="D34">
        <v>7.82</v>
      </c>
      <c r="E34">
        <v>543.5</v>
      </c>
      <c r="F34">
        <v>1310.25</v>
      </c>
      <c r="G34">
        <v>349.6</v>
      </c>
      <c r="H34">
        <v>70.959999999999994</v>
      </c>
      <c r="I34">
        <v>5065</v>
      </c>
      <c r="J34">
        <v>10262</v>
      </c>
      <c r="K34">
        <v>3376</v>
      </c>
      <c r="L34">
        <v>9135</v>
      </c>
      <c r="M34">
        <v>2379</v>
      </c>
      <c r="N34">
        <v>10279</v>
      </c>
      <c r="O34">
        <v>554.5</v>
      </c>
      <c r="P34">
        <v>835.9</v>
      </c>
      <c r="Q34">
        <v>2.085</v>
      </c>
      <c r="R34">
        <v>4.2958999999999996</v>
      </c>
      <c r="S34">
        <v>1221.25</v>
      </c>
      <c r="T34">
        <v>85.25</v>
      </c>
      <c r="U34">
        <v>88.98</v>
      </c>
      <c r="V34">
        <v>2.7898999999999998</v>
      </c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</row>
    <row r="35" spans="1:77" x14ac:dyDescent="0.25">
      <c r="A35" s="2">
        <v>46266</v>
      </c>
      <c r="B35">
        <v>782.5</v>
      </c>
      <c r="C35">
        <v>845.25</v>
      </c>
      <c r="D35">
        <v>7.7675000000000001</v>
      </c>
      <c r="E35">
        <v>546</v>
      </c>
      <c r="F35">
        <v>1317.75</v>
      </c>
      <c r="G35">
        <v>352.6</v>
      </c>
      <c r="H35">
        <v>72.63</v>
      </c>
      <c r="I35">
        <v>5072</v>
      </c>
      <c r="J35">
        <v>10293</v>
      </c>
      <c r="K35">
        <v>3357</v>
      </c>
      <c r="L35">
        <v>9072</v>
      </c>
      <c r="M35">
        <v>2362</v>
      </c>
      <c r="N35">
        <v>10234</v>
      </c>
      <c r="O35">
        <v>558.5</v>
      </c>
      <c r="P35">
        <v>852.3</v>
      </c>
      <c r="Q35">
        <v>2.0750000000000002</v>
      </c>
      <c r="R35">
        <v>4.3085000000000004</v>
      </c>
      <c r="S35">
        <v>1207.75</v>
      </c>
      <c r="T35">
        <v>84.97</v>
      </c>
      <c r="U35">
        <v>88.67</v>
      </c>
      <c r="V35">
        <v>2.8125</v>
      </c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</row>
    <row r="36" spans="1:77" x14ac:dyDescent="0.25">
      <c r="A36" s="2">
        <v>46265</v>
      </c>
      <c r="B36">
        <v>774</v>
      </c>
      <c r="C36">
        <v>838</v>
      </c>
      <c r="D36">
        <v>7.63</v>
      </c>
      <c r="E36">
        <v>537.75</v>
      </c>
      <c r="F36">
        <v>1288</v>
      </c>
      <c r="G36">
        <v>345.3</v>
      </c>
      <c r="H36">
        <v>71.12</v>
      </c>
      <c r="J36">
        <v>10241</v>
      </c>
      <c r="K36">
        <v>3353</v>
      </c>
      <c r="L36">
        <v>9013</v>
      </c>
      <c r="M36">
        <v>2367</v>
      </c>
      <c r="N36">
        <v>10240</v>
      </c>
      <c r="O36">
        <v>546.5</v>
      </c>
      <c r="P36">
        <v>823.3</v>
      </c>
      <c r="Q36">
        <v>2.0449999999999999</v>
      </c>
      <c r="R36">
        <v>4.0753000000000004</v>
      </c>
      <c r="S36">
        <v>1157.25</v>
      </c>
      <c r="T36">
        <v>82.07</v>
      </c>
      <c r="U36">
        <v>86.15</v>
      </c>
      <c r="V36">
        <v>2.7321</v>
      </c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</row>
    <row r="37" spans="1:77" x14ac:dyDescent="0.25">
      <c r="A37" s="2">
        <v>46262</v>
      </c>
      <c r="B37">
        <v>784</v>
      </c>
      <c r="C37">
        <v>844.25</v>
      </c>
      <c r="D37">
        <v>7.6924999999999999</v>
      </c>
      <c r="E37">
        <v>536.5</v>
      </c>
      <c r="F37">
        <v>1288</v>
      </c>
      <c r="G37">
        <v>348.9</v>
      </c>
      <c r="H37">
        <v>71.06</v>
      </c>
      <c r="I37">
        <v>4988</v>
      </c>
      <c r="J37">
        <v>10089</v>
      </c>
      <c r="K37">
        <v>3344</v>
      </c>
      <c r="L37">
        <v>8908</v>
      </c>
      <c r="M37">
        <v>2372</v>
      </c>
      <c r="N37">
        <v>10167</v>
      </c>
      <c r="O37">
        <v>548.25</v>
      </c>
      <c r="P37">
        <v>833.2</v>
      </c>
      <c r="Q37">
        <v>2.0375000000000001</v>
      </c>
      <c r="R37">
        <v>3.9420999999999999</v>
      </c>
      <c r="S37">
        <v>1117.25</v>
      </c>
      <c r="T37">
        <v>80</v>
      </c>
      <c r="U37">
        <v>84.16</v>
      </c>
      <c r="V37">
        <v>2.6839</v>
      </c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</row>
    <row r="38" spans="1:77" x14ac:dyDescent="0.25">
      <c r="A38" s="2">
        <v>46261</v>
      </c>
      <c r="B38">
        <v>760.75</v>
      </c>
      <c r="C38">
        <v>822</v>
      </c>
      <c r="D38">
        <v>7.5774999999999997</v>
      </c>
      <c r="E38">
        <v>533.5</v>
      </c>
      <c r="F38">
        <v>1268</v>
      </c>
      <c r="G38">
        <v>340.9</v>
      </c>
      <c r="H38">
        <v>68.510000000000005</v>
      </c>
      <c r="I38">
        <v>4907</v>
      </c>
      <c r="J38">
        <v>10060</v>
      </c>
      <c r="K38">
        <v>3324</v>
      </c>
      <c r="L38">
        <v>8818</v>
      </c>
      <c r="M38">
        <v>2357</v>
      </c>
      <c r="N38">
        <v>10134</v>
      </c>
      <c r="O38">
        <v>542.5</v>
      </c>
      <c r="P38">
        <v>813.6</v>
      </c>
      <c r="Q38">
        <v>2.0074999999999998</v>
      </c>
      <c r="R38">
        <v>3.8963000000000001</v>
      </c>
      <c r="S38">
        <v>1090.5</v>
      </c>
      <c r="T38">
        <v>80.11</v>
      </c>
      <c r="U38">
        <v>84.23</v>
      </c>
      <c r="V38">
        <v>2.6473</v>
      </c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</row>
    <row r="39" spans="1:77" x14ac:dyDescent="0.25">
      <c r="A39" s="2">
        <v>46260</v>
      </c>
      <c r="B39">
        <v>748.25</v>
      </c>
      <c r="C39">
        <v>808.75</v>
      </c>
      <c r="D39">
        <v>7.48</v>
      </c>
      <c r="E39">
        <v>536.5</v>
      </c>
      <c r="F39">
        <v>1266</v>
      </c>
      <c r="G39">
        <v>339.3</v>
      </c>
      <c r="H39">
        <v>67.739999999999995</v>
      </c>
      <c r="I39">
        <v>4931</v>
      </c>
      <c r="J39">
        <v>10039</v>
      </c>
      <c r="K39">
        <v>3266</v>
      </c>
      <c r="L39">
        <v>8760</v>
      </c>
      <c r="M39">
        <v>2306</v>
      </c>
      <c r="N39">
        <v>10105</v>
      </c>
      <c r="O39">
        <v>541.5</v>
      </c>
      <c r="P39">
        <v>808.3</v>
      </c>
      <c r="Q39">
        <v>2.0525000000000002</v>
      </c>
      <c r="R39">
        <v>3.8576000000000001</v>
      </c>
      <c r="S39">
        <v>1105.25</v>
      </c>
      <c r="T39">
        <v>79.27</v>
      </c>
      <c r="U39">
        <v>83.38</v>
      </c>
      <c r="V39">
        <v>2.6099000000000001</v>
      </c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</row>
    <row r="40" spans="1:77" x14ac:dyDescent="0.25">
      <c r="A40" s="2">
        <v>46259</v>
      </c>
      <c r="B40">
        <v>703.25</v>
      </c>
      <c r="C40">
        <v>770.75</v>
      </c>
      <c r="D40">
        <v>7.2</v>
      </c>
      <c r="E40">
        <v>523.5</v>
      </c>
      <c r="F40">
        <v>1237.75</v>
      </c>
      <c r="G40">
        <v>329.2</v>
      </c>
      <c r="H40">
        <v>67.78</v>
      </c>
      <c r="J40">
        <v>10064</v>
      </c>
      <c r="K40">
        <v>3228</v>
      </c>
      <c r="L40">
        <v>8748</v>
      </c>
      <c r="M40">
        <v>2267</v>
      </c>
      <c r="N40">
        <v>10112</v>
      </c>
      <c r="O40">
        <v>536</v>
      </c>
      <c r="P40">
        <v>799.6</v>
      </c>
      <c r="Q40">
        <v>2.0499999999999998</v>
      </c>
      <c r="R40">
        <v>3.8727999999999998</v>
      </c>
      <c r="S40">
        <v>1110.5</v>
      </c>
      <c r="T40">
        <v>79.150000000000006</v>
      </c>
      <c r="U40">
        <v>83.45</v>
      </c>
      <c r="V40">
        <v>2.6012</v>
      </c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</row>
    <row r="41" spans="1:77" x14ac:dyDescent="0.25">
      <c r="A41" s="2">
        <v>46258</v>
      </c>
      <c r="B41">
        <v>699.5</v>
      </c>
      <c r="C41">
        <v>767.25</v>
      </c>
      <c r="D41">
        <v>7.2125000000000004</v>
      </c>
      <c r="E41">
        <v>515.5</v>
      </c>
      <c r="F41">
        <v>1224.25</v>
      </c>
      <c r="G41">
        <v>328.6</v>
      </c>
      <c r="H41">
        <v>67.31</v>
      </c>
      <c r="I41">
        <v>5013</v>
      </c>
      <c r="J41">
        <v>10178</v>
      </c>
      <c r="K41">
        <v>3240</v>
      </c>
      <c r="L41">
        <v>8811</v>
      </c>
      <c r="M41">
        <v>2275</v>
      </c>
      <c r="N41">
        <v>10248</v>
      </c>
      <c r="O41">
        <v>524.75</v>
      </c>
      <c r="P41">
        <v>779.4</v>
      </c>
      <c r="Q41">
        <v>2.105</v>
      </c>
      <c r="R41">
        <v>3.9138000000000002</v>
      </c>
      <c r="S41">
        <v>1127.25</v>
      </c>
      <c r="T41">
        <v>81.34</v>
      </c>
      <c r="U41">
        <v>85.96</v>
      </c>
      <c r="V41">
        <v>2.6465000000000001</v>
      </c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</row>
    <row r="42" spans="1:77" x14ac:dyDescent="0.25">
      <c r="A42" s="2">
        <v>46255</v>
      </c>
      <c r="B42">
        <v>699.25</v>
      </c>
      <c r="C42">
        <v>772.5</v>
      </c>
      <c r="D42">
        <v>7.2450000000000001</v>
      </c>
      <c r="E42">
        <v>508.5</v>
      </c>
      <c r="F42">
        <v>1239.5</v>
      </c>
      <c r="G42">
        <v>325.8</v>
      </c>
      <c r="H42">
        <v>69.58</v>
      </c>
      <c r="I42">
        <v>5077</v>
      </c>
      <c r="J42">
        <v>10146</v>
      </c>
      <c r="K42">
        <v>3244</v>
      </c>
      <c r="L42">
        <v>8836</v>
      </c>
      <c r="M42">
        <v>2281</v>
      </c>
      <c r="N42">
        <v>10338</v>
      </c>
      <c r="O42">
        <v>541.25</v>
      </c>
      <c r="P42">
        <v>808.4</v>
      </c>
      <c r="Q42">
        <v>2.105</v>
      </c>
      <c r="R42">
        <v>4.0846999999999998</v>
      </c>
      <c r="S42">
        <v>1165.25</v>
      </c>
      <c r="T42">
        <v>83.02</v>
      </c>
      <c r="U42">
        <v>87.67</v>
      </c>
      <c r="V42">
        <v>2.7201</v>
      </c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</row>
    <row r="43" spans="1:77" x14ac:dyDescent="0.25">
      <c r="A43" s="2">
        <v>46254</v>
      </c>
      <c r="B43">
        <v>700</v>
      </c>
      <c r="C43">
        <v>776.5</v>
      </c>
      <c r="D43">
        <v>7.2774999999999999</v>
      </c>
      <c r="E43">
        <v>503.5</v>
      </c>
      <c r="F43">
        <v>1236.5</v>
      </c>
      <c r="G43">
        <v>323.8</v>
      </c>
      <c r="H43">
        <v>71.319999999999993</v>
      </c>
      <c r="I43">
        <v>5025</v>
      </c>
      <c r="J43">
        <v>10082</v>
      </c>
      <c r="K43">
        <v>3264</v>
      </c>
      <c r="L43">
        <v>8809</v>
      </c>
      <c r="M43">
        <v>2304</v>
      </c>
      <c r="N43">
        <v>10400</v>
      </c>
      <c r="O43">
        <v>547.25</v>
      </c>
      <c r="P43">
        <v>828.9</v>
      </c>
      <c r="Q43">
        <v>2.0625</v>
      </c>
      <c r="R43">
        <v>4.0875000000000004</v>
      </c>
      <c r="S43">
        <v>1151</v>
      </c>
      <c r="T43">
        <v>82.67</v>
      </c>
      <c r="U43">
        <v>87</v>
      </c>
      <c r="V43">
        <v>2.7172999999999998</v>
      </c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</row>
    <row r="44" spans="1:77" x14ac:dyDescent="0.25">
      <c r="A44" s="2">
        <v>46253</v>
      </c>
      <c r="B44">
        <v>697.5</v>
      </c>
      <c r="C44">
        <v>776.75</v>
      </c>
      <c r="D44">
        <v>7.2024999999999997</v>
      </c>
      <c r="E44">
        <v>498</v>
      </c>
      <c r="F44">
        <v>1237.25</v>
      </c>
      <c r="G44">
        <v>325.60000000000002</v>
      </c>
      <c r="H44">
        <v>69.959999999999994</v>
      </c>
      <c r="I44">
        <v>4972</v>
      </c>
      <c r="J44">
        <v>9970</v>
      </c>
      <c r="K44">
        <v>3246</v>
      </c>
      <c r="L44">
        <v>8722</v>
      </c>
      <c r="M44">
        <v>2292</v>
      </c>
      <c r="N44">
        <v>10219</v>
      </c>
      <c r="O44">
        <v>553</v>
      </c>
      <c r="P44">
        <v>827.9</v>
      </c>
      <c r="Q44">
        <v>2.0249999999999999</v>
      </c>
      <c r="R44">
        <v>4.0114000000000001</v>
      </c>
      <c r="S44">
        <v>1136.25</v>
      </c>
      <c r="T44">
        <v>81.069999999999993</v>
      </c>
      <c r="U44">
        <v>85.36</v>
      </c>
      <c r="V44">
        <v>2.6798999999999999</v>
      </c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</row>
    <row r="45" spans="1:77" x14ac:dyDescent="0.25">
      <c r="A45" s="2">
        <v>46252</v>
      </c>
      <c r="B45">
        <v>681.25</v>
      </c>
      <c r="C45">
        <v>758.5</v>
      </c>
      <c r="D45">
        <v>7.0374999999999996</v>
      </c>
      <c r="E45">
        <v>488</v>
      </c>
      <c r="F45">
        <v>1216.75</v>
      </c>
      <c r="G45">
        <v>318.8</v>
      </c>
      <c r="H45">
        <v>69.63</v>
      </c>
      <c r="I45">
        <v>4943</v>
      </c>
      <c r="J45">
        <v>9896</v>
      </c>
      <c r="K45">
        <v>3218</v>
      </c>
      <c r="L45">
        <v>8644</v>
      </c>
      <c r="M45">
        <v>2270</v>
      </c>
      <c r="N45">
        <v>10198</v>
      </c>
      <c r="O45">
        <v>547.5</v>
      </c>
      <c r="P45">
        <v>814.9</v>
      </c>
      <c r="Q45">
        <v>2.0225</v>
      </c>
      <c r="R45">
        <v>4.0084</v>
      </c>
      <c r="S45">
        <v>1128</v>
      </c>
      <c r="T45">
        <v>81.2</v>
      </c>
      <c r="U45">
        <v>85.59</v>
      </c>
      <c r="V45">
        <v>2.6890000000000001</v>
      </c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</row>
    <row r="46" spans="1:77" x14ac:dyDescent="0.25">
      <c r="A46" s="2">
        <v>46251</v>
      </c>
      <c r="B46">
        <v>689.25</v>
      </c>
      <c r="C46">
        <v>771.75</v>
      </c>
      <c r="D46">
        <v>7.03</v>
      </c>
      <c r="E46">
        <v>489.5</v>
      </c>
      <c r="F46">
        <v>1216</v>
      </c>
      <c r="G46">
        <v>318.7</v>
      </c>
      <c r="H46">
        <v>70.819999999999993</v>
      </c>
      <c r="I46">
        <v>4903</v>
      </c>
      <c r="J46">
        <v>9808</v>
      </c>
      <c r="K46">
        <v>3174</v>
      </c>
      <c r="L46">
        <v>8547</v>
      </c>
      <c r="M46">
        <v>2246</v>
      </c>
      <c r="N46">
        <v>10146</v>
      </c>
      <c r="O46">
        <v>550.5</v>
      </c>
      <c r="P46">
        <v>836.3</v>
      </c>
      <c r="Q46">
        <v>2.0125000000000002</v>
      </c>
      <c r="R46">
        <v>3.9882</v>
      </c>
      <c r="S46">
        <v>1105.25</v>
      </c>
      <c r="T46">
        <v>80.83</v>
      </c>
      <c r="U46">
        <v>85.03</v>
      </c>
      <c r="V46">
        <v>2.6642000000000001</v>
      </c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</row>
    <row r="47" spans="1:77" x14ac:dyDescent="0.25">
      <c r="A47" s="2">
        <v>46248</v>
      </c>
      <c r="B47">
        <v>689.5</v>
      </c>
      <c r="C47">
        <v>767.75</v>
      </c>
      <c r="D47">
        <v>7.0425000000000004</v>
      </c>
      <c r="E47">
        <v>483.25</v>
      </c>
      <c r="F47">
        <v>1192.5</v>
      </c>
      <c r="G47">
        <v>316.3</v>
      </c>
      <c r="H47">
        <v>68.97</v>
      </c>
      <c r="I47">
        <v>4879</v>
      </c>
      <c r="J47">
        <v>9767</v>
      </c>
      <c r="K47">
        <v>3154</v>
      </c>
      <c r="L47">
        <v>8500</v>
      </c>
      <c r="M47">
        <v>2238</v>
      </c>
      <c r="N47">
        <v>10087</v>
      </c>
      <c r="O47">
        <v>547.5</v>
      </c>
      <c r="P47">
        <v>826.4</v>
      </c>
      <c r="Q47">
        <v>1.9950000000000001</v>
      </c>
      <c r="R47">
        <v>3.8681000000000001</v>
      </c>
      <c r="S47">
        <v>1079</v>
      </c>
      <c r="T47">
        <v>78.489999999999995</v>
      </c>
      <c r="U47">
        <v>82.64</v>
      </c>
      <c r="V47">
        <v>2.6105</v>
      </c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</row>
    <row r="48" spans="1:77" x14ac:dyDescent="0.25">
      <c r="A48" s="2">
        <v>46247</v>
      </c>
      <c r="B48">
        <v>668.25</v>
      </c>
      <c r="C48">
        <v>734.75</v>
      </c>
      <c r="D48">
        <v>6.9375</v>
      </c>
      <c r="E48">
        <v>472</v>
      </c>
      <c r="F48">
        <v>1182.25</v>
      </c>
      <c r="G48">
        <v>314</v>
      </c>
      <c r="H48">
        <v>68.38</v>
      </c>
      <c r="I48">
        <v>4862</v>
      </c>
      <c r="J48">
        <v>9699</v>
      </c>
      <c r="K48">
        <v>3154</v>
      </c>
      <c r="L48">
        <v>8453</v>
      </c>
      <c r="M48">
        <v>2233</v>
      </c>
      <c r="N48">
        <v>9969</v>
      </c>
      <c r="O48">
        <v>542.25</v>
      </c>
      <c r="P48">
        <v>811.1</v>
      </c>
      <c r="Q48">
        <v>1.9550000000000001</v>
      </c>
      <c r="R48">
        <v>3.8410000000000002</v>
      </c>
      <c r="S48">
        <v>1086.75</v>
      </c>
      <c r="T48">
        <v>77.599999999999994</v>
      </c>
      <c r="U48">
        <v>81.790000000000006</v>
      </c>
      <c r="V48">
        <v>2.5807000000000002</v>
      </c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</row>
    <row r="49" spans="1:77" x14ac:dyDescent="0.25">
      <c r="A49" s="2">
        <v>46246</v>
      </c>
      <c r="B49">
        <v>669.75</v>
      </c>
      <c r="C49">
        <v>737.75</v>
      </c>
      <c r="D49">
        <v>6.98</v>
      </c>
      <c r="E49">
        <v>480.75</v>
      </c>
      <c r="F49">
        <v>1183.25</v>
      </c>
      <c r="G49">
        <v>315.10000000000002</v>
      </c>
      <c r="H49">
        <v>68.760000000000005</v>
      </c>
      <c r="I49">
        <v>4828</v>
      </c>
      <c r="J49">
        <v>9696</v>
      </c>
      <c r="K49">
        <v>3131</v>
      </c>
      <c r="L49">
        <v>8443</v>
      </c>
      <c r="M49">
        <v>2227</v>
      </c>
      <c r="N49">
        <v>9935</v>
      </c>
      <c r="O49">
        <v>538.25</v>
      </c>
      <c r="P49">
        <v>803.6</v>
      </c>
      <c r="Q49">
        <v>1.9624999999999999</v>
      </c>
      <c r="R49">
        <v>3.8706</v>
      </c>
      <c r="S49">
        <v>1079.5</v>
      </c>
      <c r="T49">
        <v>78.790000000000006</v>
      </c>
      <c r="U49">
        <v>82.91</v>
      </c>
      <c r="V49">
        <v>2.6076999999999999</v>
      </c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</row>
    <row r="50" spans="1:77" x14ac:dyDescent="0.25">
      <c r="A50" s="2">
        <v>46245</v>
      </c>
      <c r="B50">
        <v>648.25</v>
      </c>
      <c r="C50">
        <v>716</v>
      </c>
      <c r="D50">
        <v>6.8449999999999998</v>
      </c>
      <c r="E50">
        <v>460.5</v>
      </c>
      <c r="F50">
        <v>1168.75</v>
      </c>
      <c r="G50">
        <v>310.89999999999998</v>
      </c>
      <c r="H50">
        <v>68.12</v>
      </c>
      <c r="I50">
        <v>4868</v>
      </c>
      <c r="J50">
        <v>9743</v>
      </c>
      <c r="K50">
        <v>3139</v>
      </c>
      <c r="L50">
        <v>8460</v>
      </c>
      <c r="M50">
        <v>2234</v>
      </c>
      <c r="N50">
        <v>9961</v>
      </c>
      <c r="O50">
        <v>536.25</v>
      </c>
      <c r="P50">
        <v>791.2</v>
      </c>
      <c r="Q50">
        <v>1.9275</v>
      </c>
      <c r="R50">
        <v>3.8113999999999999</v>
      </c>
      <c r="S50">
        <v>1055.25</v>
      </c>
      <c r="T50">
        <v>78.58</v>
      </c>
      <c r="U50">
        <v>82.73</v>
      </c>
      <c r="V50">
        <v>2.6052</v>
      </c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</row>
    <row r="51" spans="1:77" x14ac:dyDescent="0.25">
      <c r="A51" s="2">
        <v>46244</v>
      </c>
      <c r="B51">
        <v>659.25</v>
      </c>
      <c r="C51">
        <v>731.25</v>
      </c>
      <c r="D51">
        <v>6.95</v>
      </c>
      <c r="E51">
        <v>461.75</v>
      </c>
      <c r="F51">
        <v>1179.5</v>
      </c>
      <c r="G51">
        <v>311.60000000000002</v>
      </c>
      <c r="H51">
        <v>69.14</v>
      </c>
      <c r="I51">
        <v>4836</v>
      </c>
      <c r="J51">
        <v>9700</v>
      </c>
      <c r="K51">
        <v>3146</v>
      </c>
      <c r="L51">
        <v>8456</v>
      </c>
      <c r="M51">
        <v>2242</v>
      </c>
      <c r="N51">
        <v>9934</v>
      </c>
      <c r="O51">
        <v>540.25</v>
      </c>
      <c r="P51">
        <v>804.8</v>
      </c>
      <c r="Q51">
        <v>1.9424999999999999</v>
      </c>
      <c r="R51">
        <v>3.7948</v>
      </c>
      <c r="S51">
        <v>1055.25</v>
      </c>
      <c r="T51">
        <v>78.489999999999995</v>
      </c>
      <c r="U51">
        <v>82.57</v>
      </c>
      <c r="V51">
        <v>2.5985</v>
      </c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</row>
    <row r="52" spans="1:77" x14ac:dyDescent="0.25">
      <c r="A52" s="2">
        <v>46241</v>
      </c>
      <c r="B52">
        <v>658.25</v>
      </c>
      <c r="C52">
        <v>730.5</v>
      </c>
      <c r="D52">
        <v>7.0225</v>
      </c>
      <c r="E52">
        <v>462</v>
      </c>
      <c r="F52">
        <v>1176.25</v>
      </c>
      <c r="G52">
        <v>313.39999999999998</v>
      </c>
      <c r="H52">
        <v>67.88</v>
      </c>
      <c r="I52">
        <v>4785</v>
      </c>
      <c r="J52">
        <v>9662</v>
      </c>
      <c r="K52">
        <v>3144</v>
      </c>
      <c r="L52">
        <v>8434</v>
      </c>
      <c r="M52">
        <v>2235</v>
      </c>
      <c r="N52">
        <v>9909</v>
      </c>
      <c r="O52">
        <v>535</v>
      </c>
      <c r="P52">
        <v>788.8</v>
      </c>
      <c r="Q52">
        <v>1.94</v>
      </c>
      <c r="R52">
        <v>3.5827</v>
      </c>
      <c r="S52">
        <v>1003.75</v>
      </c>
      <c r="T52">
        <v>74.64</v>
      </c>
      <c r="U52">
        <v>78.680000000000007</v>
      </c>
      <c r="V52">
        <v>2.4900000000000002</v>
      </c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</row>
    <row r="53" spans="1:77" x14ac:dyDescent="0.25">
      <c r="A53" s="2">
        <v>46240</v>
      </c>
      <c r="B53">
        <v>650.5</v>
      </c>
      <c r="C53">
        <v>717.5</v>
      </c>
      <c r="D53">
        <v>6.9424999999999999</v>
      </c>
      <c r="E53">
        <v>462</v>
      </c>
      <c r="F53">
        <v>1177.75</v>
      </c>
      <c r="G53">
        <v>316.60000000000002</v>
      </c>
      <c r="H53">
        <v>67.37</v>
      </c>
      <c r="I53">
        <v>4775</v>
      </c>
      <c r="J53">
        <v>9685</v>
      </c>
      <c r="K53">
        <v>3121</v>
      </c>
      <c r="L53">
        <v>8420</v>
      </c>
      <c r="M53">
        <v>2233</v>
      </c>
      <c r="N53">
        <v>9875</v>
      </c>
      <c r="O53">
        <v>528.25</v>
      </c>
      <c r="P53">
        <v>779</v>
      </c>
      <c r="Q53">
        <v>1.91</v>
      </c>
      <c r="R53">
        <v>3.5331000000000001</v>
      </c>
      <c r="S53">
        <v>978</v>
      </c>
      <c r="T53">
        <v>73.599999999999994</v>
      </c>
      <c r="U53">
        <v>77.55</v>
      </c>
      <c r="V53">
        <v>2.4558</v>
      </c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</row>
    <row r="54" spans="1:77" x14ac:dyDescent="0.25">
      <c r="A54" s="2">
        <v>46239</v>
      </c>
      <c r="B54">
        <v>661.25</v>
      </c>
      <c r="C54">
        <v>731</v>
      </c>
      <c r="D54">
        <v>7.08</v>
      </c>
      <c r="E54">
        <v>460</v>
      </c>
      <c r="F54">
        <v>1174.75</v>
      </c>
      <c r="G54">
        <v>315.60000000000002</v>
      </c>
      <c r="H54">
        <v>67.17</v>
      </c>
      <c r="I54">
        <v>4783</v>
      </c>
      <c r="J54">
        <v>9653</v>
      </c>
      <c r="K54">
        <v>3118</v>
      </c>
      <c r="L54">
        <v>8417</v>
      </c>
      <c r="M54">
        <v>2235</v>
      </c>
      <c r="N54">
        <v>9843</v>
      </c>
      <c r="O54">
        <v>524.75</v>
      </c>
      <c r="P54">
        <v>775.7</v>
      </c>
      <c r="Q54">
        <v>1.9</v>
      </c>
      <c r="R54">
        <v>3.4649000000000001</v>
      </c>
      <c r="S54">
        <v>973</v>
      </c>
      <c r="T54">
        <v>71.87</v>
      </c>
      <c r="U54">
        <v>75.7</v>
      </c>
      <c r="V54">
        <v>2.3853</v>
      </c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</row>
    <row r="55" spans="1:77" x14ac:dyDescent="0.25">
      <c r="A55" s="2">
        <v>46238</v>
      </c>
      <c r="B55">
        <v>657.25</v>
      </c>
      <c r="C55">
        <v>724.5</v>
      </c>
      <c r="D55">
        <v>7.0925000000000002</v>
      </c>
      <c r="E55">
        <v>465.5</v>
      </c>
      <c r="F55">
        <v>1177.75</v>
      </c>
      <c r="G55">
        <v>318.39999999999998</v>
      </c>
      <c r="H55">
        <v>67.52</v>
      </c>
      <c r="I55">
        <v>4764</v>
      </c>
      <c r="J55">
        <v>9581</v>
      </c>
      <c r="K55">
        <v>3131</v>
      </c>
      <c r="L55">
        <v>8430</v>
      </c>
      <c r="M55">
        <v>2242</v>
      </c>
      <c r="N55">
        <v>9825</v>
      </c>
      <c r="O55">
        <v>520</v>
      </c>
      <c r="P55">
        <v>770.7</v>
      </c>
      <c r="Q55">
        <v>1.915</v>
      </c>
      <c r="R55">
        <v>3.4308000000000001</v>
      </c>
      <c r="S55">
        <v>959.75</v>
      </c>
      <c r="T55">
        <v>72.03</v>
      </c>
      <c r="U55">
        <v>75.97</v>
      </c>
      <c r="V55">
        <v>2.3826000000000001</v>
      </c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</row>
    <row r="56" spans="1:77" x14ac:dyDescent="0.25">
      <c r="A56" s="2">
        <v>46237</v>
      </c>
      <c r="B56">
        <v>669.25</v>
      </c>
      <c r="C56">
        <v>734</v>
      </c>
      <c r="D56">
        <v>7.2</v>
      </c>
      <c r="E56">
        <v>472.5</v>
      </c>
      <c r="F56">
        <v>1192.25</v>
      </c>
      <c r="G56">
        <v>321.60000000000002</v>
      </c>
      <c r="H56">
        <v>68.14</v>
      </c>
      <c r="I56">
        <v>4697</v>
      </c>
      <c r="J56">
        <v>9561</v>
      </c>
      <c r="K56">
        <v>3126</v>
      </c>
      <c r="L56">
        <v>8398</v>
      </c>
      <c r="M56">
        <v>2242</v>
      </c>
      <c r="N56">
        <v>9759</v>
      </c>
      <c r="O56">
        <v>523.5</v>
      </c>
      <c r="Q56">
        <v>1.9325000000000001</v>
      </c>
      <c r="R56">
        <v>3.5009000000000001</v>
      </c>
      <c r="S56">
        <v>989.5</v>
      </c>
      <c r="T56">
        <v>73.94</v>
      </c>
      <c r="U56">
        <v>77.989999999999995</v>
      </c>
      <c r="V56">
        <v>2.4605000000000001</v>
      </c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</row>
    <row r="57" spans="1:77" x14ac:dyDescent="0.25">
      <c r="A57" s="2">
        <v>46234</v>
      </c>
      <c r="B57">
        <v>657.5</v>
      </c>
      <c r="C57">
        <v>723.75</v>
      </c>
      <c r="D57">
        <v>7.1449999999999996</v>
      </c>
      <c r="E57">
        <v>464</v>
      </c>
      <c r="F57">
        <v>1187.5</v>
      </c>
      <c r="G57">
        <v>321.2</v>
      </c>
      <c r="H57">
        <v>66.900000000000006</v>
      </c>
      <c r="I57">
        <v>4704</v>
      </c>
      <c r="J57">
        <v>9608</v>
      </c>
      <c r="K57">
        <v>3135</v>
      </c>
      <c r="L57">
        <v>8412</v>
      </c>
      <c r="M57">
        <v>2244</v>
      </c>
      <c r="N57">
        <v>9761</v>
      </c>
      <c r="O57">
        <v>512.5</v>
      </c>
      <c r="P57">
        <v>767.5</v>
      </c>
      <c r="Q57">
        <v>1.9125000000000001</v>
      </c>
      <c r="R57">
        <v>3.63</v>
      </c>
      <c r="S57">
        <v>1029.25</v>
      </c>
      <c r="T57">
        <v>76.44</v>
      </c>
      <c r="U57">
        <v>80.59</v>
      </c>
      <c r="V57">
        <v>2.5501999999999998</v>
      </c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</row>
    <row r="58" spans="1:77" x14ac:dyDescent="0.25">
      <c r="A58" s="2">
        <v>46233</v>
      </c>
      <c r="B58">
        <v>681.5</v>
      </c>
      <c r="C58">
        <v>746.75</v>
      </c>
      <c r="D58">
        <v>7.3550000000000004</v>
      </c>
      <c r="E58">
        <v>468.5</v>
      </c>
      <c r="F58">
        <v>1188.75</v>
      </c>
      <c r="G58">
        <v>322.8</v>
      </c>
      <c r="H58">
        <v>67.290000000000006</v>
      </c>
      <c r="I58">
        <v>4743</v>
      </c>
      <c r="J58">
        <v>9628</v>
      </c>
      <c r="K58">
        <v>3141</v>
      </c>
      <c r="L58">
        <v>8424</v>
      </c>
      <c r="M58">
        <v>2256</v>
      </c>
      <c r="N58">
        <v>9784</v>
      </c>
      <c r="O58">
        <v>527.25</v>
      </c>
      <c r="P58">
        <v>777.6</v>
      </c>
      <c r="Q58">
        <v>1.92</v>
      </c>
      <c r="R58">
        <v>3.6084999999999998</v>
      </c>
      <c r="S58">
        <v>1009.75</v>
      </c>
      <c r="T58">
        <v>76.12</v>
      </c>
      <c r="U58">
        <v>80.209999999999994</v>
      </c>
      <c r="V58">
        <v>2.544</v>
      </c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</row>
    <row r="59" spans="1:77" x14ac:dyDescent="0.25">
      <c r="A59" s="2">
        <v>46232</v>
      </c>
      <c r="B59">
        <v>677.75</v>
      </c>
      <c r="C59">
        <v>740.75</v>
      </c>
      <c r="D59">
        <v>7.2824999999999998</v>
      </c>
      <c r="E59">
        <v>471.75</v>
      </c>
      <c r="F59">
        <v>1192.75</v>
      </c>
      <c r="G59">
        <v>323.5</v>
      </c>
      <c r="H59">
        <v>67.62</v>
      </c>
      <c r="I59">
        <v>4724</v>
      </c>
      <c r="J59">
        <v>9637</v>
      </c>
      <c r="K59">
        <v>3171</v>
      </c>
      <c r="L59">
        <v>8454</v>
      </c>
      <c r="M59">
        <v>2298</v>
      </c>
      <c r="N59">
        <v>9814</v>
      </c>
      <c r="O59">
        <v>530.75</v>
      </c>
      <c r="P59">
        <v>780.9</v>
      </c>
      <c r="Q59">
        <v>1.9275</v>
      </c>
      <c r="R59">
        <v>3.6737000000000002</v>
      </c>
      <c r="S59">
        <v>1018.5</v>
      </c>
      <c r="T59">
        <v>77.739999999999995</v>
      </c>
      <c r="U59">
        <v>81.96</v>
      </c>
      <c r="V59">
        <v>2.6069</v>
      </c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</row>
    <row r="60" spans="1:77" x14ac:dyDescent="0.25">
      <c r="A60" s="2">
        <v>46231</v>
      </c>
      <c r="B60">
        <v>679.75</v>
      </c>
      <c r="C60">
        <v>742</v>
      </c>
      <c r="D60">
        <v>7.2525000000000004</v>
      </c>
      <c r="E60">
        <v>480.5</v>
      </c>
      <c r="F60">
        <v>1220</v>
      </c>
      <c r="G60">
        <v>327.8</v>
      </c>
      <c r="H60">
        <v>68.930000000000007</v>
      </c>
      <c r="I60">
        <v>4705</v>
      </c>
      <c r="J60">
        <v>9612</v>
      </c>
      <c r="K60">
        <v>3177</v>
      </c>
      <c r="L60">
        <v>8455</v>
      </c>
      <c r="M60">
        <v>2305</v>
      </c>
      <c r="N60">
        <v>9844</v>
      </c>
      <c r="O60">
        <v>530.75</v>
      </c>
      <c r="P60">
        <v>792.2</v>
      </c>
      <c r="Q60">
        <v>1.93</v>
      </c>
      <c r="R60">
        <v>3.5015000000000001</v>
      </c>
      <c r="S60">
        <v>967.5</v>
      </c>
      <c r="T60">
        <v>73.849999999999994</v>
      </c>
      <c r="U60">
        <v>77.680000000000007</v>
      </c>
      <c r="V60">
        <v>2.5087000000000002</v>
      </c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</row>
    <row r="61" spans="1:77" x14ac:dyDescent="0.25">
      <c r="A61" s="2">
        <v>46230</v>
      </c>
      <c r="B61">
        <v>677.5</v>
      </c>
      <c r="C61">
        <v>745.5</v>
      </c>
      <c r="D61">
        <v>7.2850000000000001</v>
      </c>
      <c r="E61">
        <v>474</v>
      </c>
      <c r="F61">
        <v>1213.75</v>
      </c>
      <c r="G61">
        <v>324.10000000000002</v>
      </c>
      <c r="H61">
        <v>69.58</v>
      </c>
      <c r="I61">
        <v>4732</v>
      </c>
      <c r="J61">
        <v>9711</v>
      </c>
      <c r="K61">
        <v>3230</v>
      </c>
      <c r="L61">
        <v>8543</v>
      </c>
      <c r="M61">
        <v>2349</v>
      </c>
      <c r="N61">
        <v>10002</v>
      </c>
      <c r="O61">
        <v>536.5</v>
      </c>
      <c r="P61">
        <v>799.7</v>
      </c>
      <c r="Q61">
        <v>1.9125000000000001</v>
      </c>
      <c r="R61">
        <v>3.5548000000000002</v>
      </c>
      <c r="S61">
        <v>991.25</v>
      </c>
      <c r="T61">
        <v>76.53</v>
      </c>
      <c r="U61">
        <v>80.709999999999994</v>
      </c>
      <c r="V61">
        <v>2.5621</v>
      </c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</row>
    <row r="62" spans="1:77" x14ac:dyDescent="0.25">
      <c r="A62" s="2">
        <v>46227</v>
      </c>
      <c r="B62">
        <v>695.5</v>
      </c>
      <c r="C62">
        <v>761.5</v>
      </c>
      <c r="D62">
        <v>7.3775000000000004</v>
      </c>
      <c r="E62">
        <v>487.5</v>
      </c>
      <c r="F62">
        <v>1253.5</v>
      </c>
      <c r="G62">
        <v>335.2</v>
      </c>
      <c r="H62">
        <v>72.010000000000005</v>
      </c>
      <c r="I62">
        <v>4779</v>
      </c>
      <c r="J62">
        <v>9817</v>
      </c>
      <c r="K62">
        <v>3246</v>
      </c>
      <c r="L62">
        <v>8610</v>
      </c>
      <c r="M62">
        <v>2356</v>
      </c>
      <c r="N62">
        <v>10132</v>
      </c>
      <c r="O62">
        <v>550</v>
      </c>
      <c r="P62">
        <v>833.6</v>
      </c>
      <c r="Q62">
        <v>1.93</v>
      </c>
      <c r="R62">
        <v>3.6389999999999998</v>
      </c>
      <c r="S62">
        <v>1003.5</v>
      </c>
      <c r="T62">
        <v>79.33</v>
      </c>
      <c r="U62">
        <v>83.74</v>
      </c>
      <c r="V62">
        <v>2.6393</v>
      </c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</row>
    <row r="63" spans="1:77" x14ac:dyDescent="0.25">
      <c r="A63" s="2">
        <v>46226</v>
      </c>
      <c r="B63">
        <v>713.75</v>
      </c>
      <c r="C63">
        <v>775.75</v>
      </c>
      <c r="D63">
        <v>7.53</v>
      </c>
      <c r="E63">
        <v>487.5</v>
      </c>
      <c r="F63">
        <v>1243.75</v>
      </c>
      <c r="G63">
        <v>331.9</v>
      </c>
      <c r="H63">
        <v>72.98</v>
      </c>
      <c r="I63">
        <v>4768</v>
      </c>
      <c r="J63">
        <v>9714</v>
      </c>
      <c r="K63">
        <v>3237</v>
      </c>
      <c r="L63">
        <v>8526</v>
      </c>
      <c r="M63">
        <v>2325</v>
      </c>
      <c r="N63">
        <v>10009</v>
      </c>
      <c r="O63">
        <v>561.75</v>
      </c>
      <c r="P63">
        <v>845.6</v>
      </c>
      <c r="Q63">
        <v>1.9225000000000001</v>
      </c>
      <c r="R63">
        <v>3.7241</v>
      </c>
      <c r="S63">
        <v>1044.25</v>
      </c>
      <c r="T63">
        <v>80.099999999999994</v>
      </c>
      <c r="U63">
        <v>84.84</v>
      </c>
      <c r="V63">
        <v>2.6842000000000001</v>
      </c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</row>
    <row r="64" spans="1:77" x14ac:dyDescent="0.25">
      <c r="A64" s="2">
        <v>46225</v>
      </c>
      <c r="B64">
        <v>722.75</v>
      </c>
      <c r="C64">
        <v>779</v>
      </c>
      <c r="D64">
        <v>7.5250000000000004</v>
      </c>
      <c r="E64">
        <v>484.75</v>
      </c>
      <c r="F64">
        <v>1239</v>
      </c>
      <c r="G64">
        <v>332.9</v>
      </c>
      <c r="H64">
        <v>72.819999999999993</v>
      </c>
      <c r="I64">
        <v>4683</v>
      </c>
      <c r="J64">
        <v>9546</v>
      </c>
      <c r="K64">
        <v>3198</v>
      </c>
      <c r="L64">
        <v>8488</v>
      </c>
      <c r="M64">
        <v>2298</v>
      </c>
      <c r="N64">
        <v>9887</v>
      </c>
      <c r="O64">
        <v>555</v>
      </c>
      <c r="P64">
        <v>832.5</v>
      </c>
      <c r="Q64">
        <v>1.9125000000000001</v>
      </c>
      <c r="R64">
        <v>3.6101000000000001</v>
      </c>
      <c r="S64">
        <v>1002.75</v>
      </c>
      <c r="T64">
        <v>78.64</v>
      </c>
      <c r="U64">
        <v>83.12</v>
      </c>
      <c r="V64">
        <v>2.6313</v>
      </c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</row>
    <row r="65" spans="1:77" x14ac:dyDescent="0.25">
      <c r="A65" s="2">
        <v>46224</v>
      </c>
      <c r="B65">
        <v>696</v>
      </c>
      <c r="C65">
        <v>749.5</v>
      </c>
      <c r="D65">
        <v>7.2824999999999998</v>
      </c>
      <c r="E65">
        <v>475.25</v>
      </c>
      <c r="F65">
        <v>1222.75</v>
      </c>
      <c r="G65">
        <v>327.3</v>
      </c>
      <c r="H65">
        <v>71.63</v>
      </c>
      <c r="I65">
        <v>4679</v>
      </c>
      <c r="J65">
        <v>9573</v>
      </c>
      <c r="K65">
        <v>3195</v>
      </c>
      <c r="L65">
        <v>8560</v>
      </c>
      <c r="M65">
        <v>2284</v>
      </c>
      <c r="N65">
        <v>9951</v>
      </c>
      <c r="O65">
        <v>552.5</v>
      </c>
      <c r="P65">
        <v>812.9</v>
      </c>
      <c r="Q65">
        <v>1.9025000000000001</v>
      </c>
      <c r="R65">
        <v>3.573</v>
      </c>
      <c r="S65">
        <v>990.5</v>
      </c>
      <c r="T65">
        <v>78.239999999999995</v>
      </c>
      <c r="U65">
        <v>82.51</v>
      </c>
      <c r="V65">
        <v>2.6149</v>
      </c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</row>
    <row r="66" spans="1:77" x14ac:dyDescent="0.25">
      <c r="A66" s="2">
        <v>46223</v>
      </c>
      <c r="B66">
        <v>691.5</v>
      </c>
      <c r="C66">
        <v>739</v>
      </c>
      <c r="D66">
        <v>7.1725000000000003</v>
      </c>
      <c r="E66">
        <v>473</v>
      </c>
      <c r="F66">
        <v>1226.25</v>
      </c>
      <c r="G66">
        <v>323.8</v>
      </c>
      <c r="H66">
        <v>72.13</v>
      </c>
      <c r="I66">
        <v>4705</v>
      </c>
      <c r="J66">
        <v>9623</v>
      </c>
      <c r="K66">
        <v>3157</v>
      </c>
      <c r="L66">
        <v>8581</v>
      </c>
      <c r="M66">
        <v>2260</v>
      </c>
      <c r="N66">
        <v>9936</v>
      </c>
      <c r="O66">
        <v>556.25</v>
      </c>
      <c r="P66">
        <v>819.8</v>
      </c>
      <c r="Q66">
        <v>1.9075</v>
      </c>
      <c r="R66">
        <v>3.5451000000000001</v>
      </c>
      <c r="S66">
        <v>976</v>
      </c>
      <c r="T66">
        <v>77.83</v>
      </c>
      <c r="U66">
        <v>82.12</v>
      </c>
      <c r="V66">
        <v>2.5950000000000002</v>
      </c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</row>
    <row r="67" spans="1:77" x14ac:dyDescent="0.25">
      <c r="A67" s="2">
        <v>46220</v>
      </c>
      <c r="B67">
        <v>699.75</v>
      </c>
      <c r="C67">
        <v>746.75</v>
      </c>
      <c r="D67">
        <v>7.1675000000000004</v>
      </c>
      <c r="E67">
        <v>467.5</v>
      </c>
      <c r="F67">
        <v>1203</v>
      </c>
      <c r="G67">
        <v>318.5</v>
      </c>
      <c r="H67">
        <v>72.430000000000007</v>
      </c>
      <c r="I67">
        <v>4663</v>
      </c>
      <c r="J67">
        <v>9535</v>
      </c>
      <c r="K67">
        <v>3135</v>
      </c>
      <c r="L67">
        <v>8543</v>
      </c>
      <c r="M67">
        <v>2246</v>
      </c>
      <c r="N67">
        <v>9890</v>
      </c>
      <c r="O67">
        <v>548</v>
      </c>
      <c r="P67">
        <v>803.8</v>
      </c>
      <c r="Q67">
        <v>1.89</v>
      </c>
      <c r="R67">
        <v>3.5142000000000002</v>
      </c>
      <c r="S67">
        <v>968</v>
      </c>
      <c r="T67">
        <v>77.650000000000006</v>
      </c>
      <c r="U67">
        <v>82.02</v>
      </c>
      <c r="V67">
        <v>2.5861000000000001</v>
      </c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</row>
    <row r="68" spans="1:77" x14ac:dyDescent="0.25">
      <c r="A68" s="2">
        <v>46219</v>
      </c>
      <c r="B68">
        <v>691</v>
      </c>
      <c r="C68">
        <v>731.25</v>
      </c>
      <c r="D68">
        <v>7.085</v>
      </c>
      <c r="E68">
        <v>464</v>
      </c>
      <c r="F68">
        <v>1195</v>
      </c>
      <c r="G68">
        <v>322.39999999999998</v>
      </c>
      <c r="H68">
        <v>70.569999999999993</v>
      </c>
      <c r="I68">
        <v>4668</v>
      </c>
      <c r="J68">
        <v>9552</v>
      </c>
      <c r="K68">
        <v>3139</v>
      </c>
      <c r="L68">
        <v>8575</v>
      </c>
      <c r="M68">
        <v>2257</v>
      </c>
      <c r="N68">
        <v>9897</v>
      </c>
      <c r="O68">
        <v>544</v>
      </c>
      <c r="P68">
        <v>792.2</v>
      </c>
      <c r="Q68">
        <v>1.8825000000000001</v>
      </c>
      <c r="R68">
        <v>3.4828999999999999</v>
      </c>
      <c r="S68">
        <v>957</v>
      </c>
      <c r="T68">
        <v>75.430000000000007</v>
      </c>
      <c r="U68">
        <v>79.91</v>
      </c>
      <c r="V68">
        <v>2.5196999999999998</v>
      </c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</row>
    <row r="69" spans="1:77" x14ac:dyDescent="0.25">
      <c r="A69" s="2">
        <v>46218</v>
      </c>
      <c r="B69">
        <v>692</v>
      </c>
      <c r="C69">
        <v>733.25</v>
      </c>
      <c r="D69">
        <v>7.0549999999999997</v>
      </c>
      <c r="E69">
        <v>469.5</v>
      </c>
      <c r="F69">
        <v>1201.75</v>
      </c>
      <c r="G69">
        <v>320</v>
      </c>
      <c r="H69">
        <v>70.94</v>
      </c>
      <c r="I69">
        <v>4665</v>
      </c>
      <c r="J69">
        <v>9594</v>
      </c>
      <c r="K69">
        <v>3128</v>
      </c>
      <c r="L69">
        <v>8589</v>
      </c>
      <c r="M69">
        <v>2254</v>
      </c>
      <c r="N69">
        <v>9833</v>
      </c>
      <c r="O69">
        <v>548</v>
      </c>
      <c r="P69">
        <v>801.4</v>
      </c>
      <c r="Q69">
        <v>1.8975</v>
      </c>
      <c r="R69">
        <v>3.4499</v>
      </c>
      <c r="S69">
        <v>939.5</v>
      </c>
      <c r="T69">
        <v>75.88</v>
      </c>
      <c r="U69">
        <v>80.150000000000006</v>
      </c>
      <c r="V69">
        <v>2.5150999999999999</v>
      </c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</row>
    <row r="70" spans="1:77" x14ac:dyDescent="0.25">
      <c r="A70" s="2">
        <v>46217</v>
      </c>
      <c r="B70">
        <v>659.75</v>
      </c>
      <c r="C70">
        <v>692.5</v>
      </c>
      <c r="D70">
        <v>6.7824999999999998</v>
      </c>
      <c r="E70">
        <v>460.5</v>
      </c>
      <c r="F70">
        <v>1191</v>
      </c>
      <c r="G70">
        <v>316.3</v>
      </c>
      <c r="H70">
        <v>70.680000000000007</v>
      </c>
      <c r="I70">
        <v>4671</v>
      </c>
      <c r="J70">
        <v>9579</v>
      </c>
      <c r="K70">
        <v>3120</v>
      </c>
      <c r="L70">
        <v>8583</v>
      </c>
      <c r="M70">
        <v>2249</v>
      </c>
      <c r="N70">
        <v>9817</v>
      </c>
      <c r="O70">
        <v>539.25</v>
      </c>
      <c r="P70">
        <v>783.7</v>
      </c>
      <c r="Q70">
        <v>1.895</v>
      </c>
      <c r="R70">
        <v>3.4521000000000002</v>
      </c>
      <c r="S70">
        <v>929.5</v>
      </c>
      <c r="T70">
        <v>75.34</v>
      </c>
      <c r="U70">
        <v>80.040000000000006</v>
      </c>
      <c r="V70">
        <v>2.4927000000000001</v>
      </c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</row>
    <row r="71" spans="1:77" x14ac:dyDescent="0.25">
      <c r="A71" s="2">
        <v>46216</v>
      </c>
      <c r="B71">
        <v>650.5</v>
      </c>
      <c r="C71">
        <v>681.25</v>
      </c>
      <c r="D71">
        <v>6.7424999999999997</v>
      </c>
      <c r="E71">
        <v>463.25</v>
      </c>
      <c r="F71">
        <v>1194.75</v>
      </c>
      <c r="G71">
        <v>315</v>
      </c>
      <c r="H71">
        <v>71.16</v>
      </c>
      <c r="I71">
        <v>4633</v>
      </c>
      <c r="J71">
        <v>9555</v>
      </c>
      <c r="K71">
        <v>3124</v>
      </c>
      <c r="L71">
        <v>8566</v>
      </c>
      <c r="M71">
        <v>2261</v>
      </c>
      <c r="N71">
        <v>9797</v>
      </c>
      <c r="O71">
        <v>541.5</v>
      </c>
      <c r="P71">
        <v>798.3</v>
      </c>
      <c r="Q71">
        <v>1.9275</v>
      </c>
      <c r="R71">
        <v>3.3761000000000001</v>
      </c>
      <c r="S71">
        <v>909.5</v>
      </c>
      <c r="T71">
        <v>75.61</v>
      </c>
      <c r="U71">
        <v>80.209999999999994</v>
      </c>
      <c r="V71">
        <v>2.4786000000000001</v>
      </c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</row>
    <row r="72" spans="1:77" x14ac:dyDescent="0.25">
      <c r="A72" s="2">
        <v>46213</v>
      </c>
      <c r="B72">
        <v>654.5</v>
      </c>
      <c r="C72">
        <v>690.25</v>
      </c>
      <c r="D72">
        <v>6.7424999999999997</v>
      </c>
      <c r="E72">
        <v>461</v>
      </c>
      <c r="F72">
        <v>1190.75</v>
      </c>
      <c r="G72">
        <v>318.7</v>
      </c>
      <c r="H72">
        <v>68.98</v>
      </c>
      <c r="I72">
        <v>4612</v>
      </c>
      <c r="J72">
        <v>9568</v>
      </c>
      <c r="K72">
        <v>3105</v>
      </c>
      <c r="L72">
        <v>8553</v>
      </c>
      <c r="M72">
        <v>2265</v>
      </c>
      <c r="N72">
        <v>9786</v>
      </c>
      <c r="O72">
        <v>528.75</v>
      </c>
      <c r="P72">
        <v>787</v>
      </c>
      <c r="Q72">
        <v>1.9225000000000001</v>
      </c>
      <c r="R72">
        <v>3.1859000000000002</v>
      </c>
      <c r="S72">
        <v>865</v>
      </c>
      <c r="T72">
        <v>70.62</v>
      </c>
      <c r="U72">
        <v>75.17</v>
      </c>
      <c r="V72">
        <v>2.3525999999999998</v>
      </c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</row>
    <row r="73" spans="1:77" x14ac:dyDescent="0.25">
      <c r="A73" s="2">
        <v>46212</v>
      </c>
      <c r="B73">
        <v>634</v>
      </c>
      <c r="C73">
        <v>668.25</v>
      </c>
      <c r="D73">
        <v>6.6025</v>
      </c>
      <c r="E73">
        <v>452</v>
      </c>
      <c r="F73">
        <v>1181.5</v>
      </c>
      <c r="G73">
        <v>315.39999999999998</v>
      </c>
      <c r="H73">
        <v>68.62</v>
      </c>
      <c r="I73">
        <v>4689</v>
      </c>
      <c r="J73">
        <v>9662</v>
      </c>
      <c r="K73">
        <v>3107</v>
      </c>
      <c r="L73">
        <v>8596</v>
      </c>
      <c r="M73">
        <v>2261</v>
      </c>
      <c r="N73">
        <v>9797</v>
      </c>
      <c r="O73">
        <v>528.75</v>
      </c>
      <c r="P73">
        <v>783</v>
      </c>
      <c r="Q73">
        <v>1.895</v>
      </c>
      <c r="R73">
        <v>3.2094</v>
      </c>
      <c r="S73">
        <v>878.25</v>
      </c>
      <c r="T73">
        <v>70.790000000000006</v>
      </c>
      <c r="U73">
        <v>75.22</v>
      </c>
      <c r="V73">
        <v>2.3712</v>
      </c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</row>
    <row r="74" spans="1:77" x14ac:dyDescent="0.25">
      <c r="A74" s="2">
        <v>46211</v>
      </c>
      <c r="B74">
        <v>623.25</v>
      </c>
      <c r="C74">
        <v>659.75</v>
      </c>
      <c r="D74">
        <v>6.5274999999999999</v>
      </c>
      <c r="E74">
        <v>456.25</v>
      </c>
      <c r="F74">
        <v>1192.25</v>
      </c>
      <c r="G74">
        <v>311.2</v>
      </c>
      <c r="H74">
        <v>69.52</v>
      </c>
      <c r="I74">
        <v>4694</v>
      </c>
      <c r="J74">
        <v>9616</v>
      </c>
      <c r="K74">
        <v>3106</v>
      </c>
      <c r="L74">
        <v>8582</v>
      </c>
      <c r="M74">
        <v>2256</v>
      </c>
      <c r="N74">
        <v>9771</v>
      </c>
      <c r="O74">
        <v>532.75</v>
      </c>
      <c r="P74">
        <v>793.5</v>
      </c>
      <c r="Q74">
        <v>1.895</v>
      </c>
      <c r="R74">
        <v>3.2791999999999999</v>
      </c>
      <c r="S74">
        <v>917.5</v>
      </c>
      <c r="T74">
        <v>71.72</v>
      </c>
      <c r="U74">
        <v>76.2</v>
      </c>
      <c r="V74">
        <v>2.4024000000000001</v>
      </c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</row>
    <row r="75" spans="1:77" x14ac:dyDescent="0.25">
      <c r="A75" s="2">
        <v>46210</v>
      </c>
      <c r="B75">
        <v>633.75</v>
      </c>
      <c r="C75">
        <v>667.25</v>
      </c>
      <c r="D75">
        <v>6.5525000000000002</v>
      </c>
      <c r="E75">
        <v>464.25</v>
      </c>
      <c r="F75">
        <v>1197.75</v>
      </c>
      <c r="G75">
        <v>316.5</v>
      </c>
      <c r="H75">
        <v>67.27</v>
      </c>
      <c r="I75">
        <v>4625</v>
      </c>
      <c r="J75">
        <v>9580</v>
      </c>
      <c r="K75">
        <v>3093</v>
      </c>
      <c r="L75">
        <v>8535</v>
      </c>
      <c r="M75">
        <v>2256</v>
      </c>
      <c r="N75">
        <v>9705</v>
      </c>
      <c r="O75">
        <v>523.5</v>
      </c>
      <c r="P75">
        <v>770.7</v>
      </c>
      <c r="Q75">
        <v>1.89</v>
      </c>
      <c r="R75">
        <v>3.0600999999999998</v>
      </c>
      <c r="S75">
        <v>830.75</v>
      </c>
      <c r="T75">
        <v>69.73</v>
      </c>
      <c r="U75">
        <v>73.75</v>
      </c>
      <c r="V75">
        <v>2.3119999999999998</v>
      </c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</row>
    <row r="76" spans="1:77" x14ac:dyDescent="0.25">
      <c r="A76" s="2">
        <v>46209</v>
      </c>
      <c r="B76">
        <v>628.5</v>
      </c>
      <c r="C76">
        <v>664.25</v>
      </c>
      <c r="D76">
        <v>6.51</v>
      </c>
      <c r="E76">
        <v>457.75</v>
      </c>
      <c r="F76">
        <v>1192.25</v>
      </c>
      <c r="G76">
        <v>313.5</v>
      </c>
      <c r="H76">
        <v>66.63</v>
      </c>
      <c r="I76">
        <v>4616</v>
      </c>
      <c r="J76">
        <v>9486</v>
      </c>
      <c r="K76">
        <v>3064</v>
      </c>
      <c r="L76">
        <v>8445</v>
      </c>
      <c r="M76">
        <v>2230</v>
      </c>
      <c r="N76">
        <v>9611</v>
      </c>
      <c r="O76">
        <v>521.25</v>
      </c>
      <c r="P76">
        <v>766.1</v>
      </c>
      <c r="Q76">
        <v>1.8875</v>
      </c>
      <c r="R76">
        <v>3.0367999999999999</v>
      </c>
      <c r="S76">
        <v>823.25</v>
      </c>
      <c r="T76">
        <v>68.430000000000007</v>
      </c>
      <c r="U76">
        <v>72.45</v>
      </c>
      <c r="V76">
        <v>2.3022</v>
      </c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</row>
    <row r="77" spans="1:77" x14ac:dyDescent="0.25">
      <c r="A77" s="2">
        <v>46206</v>
      </c>
      <c r="I77">
        <v>4559</v>
      </c>
      <c r="J77">
        <v>9430</v>
      </c>
      <c r="K77">
        <v>3033</v>
      </c>
      <c r="L77">
        <v>8390</v>
      </c>
      <c r="M77">
        <v>2217</v>
      </c>
      <c r="N77">
        <v>9523</v>
      </c>
      <c r="O77">
        <v>515.25</v>
      </c>
      <c r="P77">
        <v>747.8</v>
      </c>
      <c r="S77">
        <v>806.75</v>
      </c>
      <c r="U77">
        <v>72.25</v>
      </c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</row>
    <row r="78" spans="1:77" x14ac:dyDescent="0.25">
      <c r="A78" s="2">
        <v>46205</v>
      </c>
      <c r="B78">
        <v>614</v>
      </c>
      <c r="C78">
        <v>652.25</v>
      </c>
      <c r="D78">
        <v>6.4</v>
      </c>
      <c r="E78">
        <v>441.5</v>
      </c>
      <c r="F78">
        <v>1147.75</v>
      </c>
      <c r="G78">
        <v>304.39999999999998</v>
      </c>
      <c r="H78">
        <v>65.430000000000007</v>
      </c>
      <c r="I78">
        <v>4586</v>
      </c>
      <c r="J78">
        <v>9496</v>
      </c>
      <c r="K78">
        <v>3037</v>
      </c>
      <c r="L78">
        <v>8404</v>
      </c>
      <c r="M78">
        <v>2222</v>
      </c>
      <c r="N78">
        <v>9539</v>
      </c>
      <c r="O78">
        <v>514.5</v>
      </c>
      <c r="P78">
        <v>745.4</v>
      </c>
      <c r="Q78">
        <v>1.855</v>
      </c>
      <c r="R78">
        <v>2.9462999999999999</v>
      </c>
      <c r="S78">
        <v>793.5</v>
      </c>
      <c r="T78">
        <v>68.34</v>
      </c>
      <c r="U78">
        <v>72.3</v>
      </c>
      <c r="V78">
        <v>2.2624</v>
      </c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</row>
    <row r="79" spans="1:77" x14ac:dyDescent="0.25">
      <c r="A79" s="2">
        <v>46204</v>
      </c>
      <c r="B79">
        <v>614.5</v>
      </c>
      <c r="C79">
        <v>649</v>
      </c>
      <c r="D79">
        <v>6.4175000000000004</v>
      </c>
      <c r="E79">
        <v>442.25</v>
      </c>
      <c r="F79">
        <v>1149.25</v>
      </c>
      <c r="G79">
        <v>304.7</v>
      </c>
      <c r="H79">
        <v>65.42</v>
      </c>
      <c r="I79">
        <v>4632</v>
      </c>
      <c r="J79">
        <v>9506</v>
      </c>
      <c r="K79">
        <v>3011</v>
      </c>
      <c r="L79">
        <v>8367</v>
      </c>
      <c r="M79">
        <v>2209</v>
      </c>
      <c r="N79">
        <v>9531</v>
      </c>
      <c r="O79">
        <v>516.75</v>
      </c>
      <c r="Q79">
        <v>1.8374999999999999</v>
      </c>
      <c r="R79">
        <v>2.9590000000000001</v>
      </c>
      <c r="S79">
        <v>802</v>
      </c>
      <c r="T79">
        <v>68.13</v>
      </c>
      <c r="U79">
        <v>72.069999999999993</v>
      </c>
      <c r="V79">
        <v>2.2692000000000001</v>
      </c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</row>
    <row r="80" spans="1:77" x14ac:dyDescent="0.25">
      <c r="A80" s="2">
        <v>46203</v>
      </c>
      <c r="B80">
        <v>604.5</v>
      </c>
      <c r="C80">
        <v>640.25</v>
      </c>
      <c r="D80">
        <v>6.3150000000000004</v>
      </c>
      <c r="E80">
        <v>436</v>
      </c>
      <c r="F80">
        <v>1143.75</v>
      </c>
      <c r="G80">
        <v>303.10000000000002</v>
      </c>
      <c r="H80">
        <v>65.349999999999994</v>
      </c>
      <c r="I80">
        <v>4615</v>
      </c>
      <c r="J80">
        <v>9570</v>
      </c>
      <c r="K80">
        <v>3008</v>
      </c>
      <c r="L80">
        <v>8408</v>
      </c>
      <c r="M80">
        <v>2218</v>
      </c>
      <c r="N80">
        <v>9647</v>
      </c>
      <c r="O80">
        <v>512.75</v>
      </c>
      <c r="P80">
        <v>743.9</v>
      </c>
      <c r="Q80">
        <v>1.83</v>
      </c>
      <c r="R80">
        <v>2.9624000000000001</v>
      </c>
      <c r="S80">
        <v>804.75</v>
      </c>
      <c r="T80">
        <v>68.349999999999994</v>
      </c>
      <c r="U80">
        <v>72.48</v>
      </c>
      <c r="V80">
        <v>2.2494999999999998</v>
      </c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</row>
    <row r="81" spans="1:77" x14ac:dyDescent="0.25">
      <c r="A81" s="2">
        <v>46202</v>
      </c>
      <c r="B81">
        <v>597</v>
      </c>
      <c r="C81">
        <v>629.5</v>
      </c>
      <c r="D81">
        <v>6.2549999999999999</v>
      </c>
      <c r="E81">
        <v>430</v>
      </c>
      <c r="F81">
        <v>1139</v>
      </c>
      <c r="G81">
        <v>302.8</v>
      </c>
      <c r="H81">
        <v>66.650000000000006</v>
      </c>
      <c r="I81">
        <v>4653</v>
      </c>
      <c r="J81">
        <v>9565</v>
      </c>
      <c r="K81">
        <v>3021</v>
      </c>
      <c r="L81">
        <v>8418</v>
      </c>
      <c r="M81">
        <v>2240</v>
      </c>
      <c r="N81">
        <v>9654</v>
      </c>
      <c r="O81">
        <v>519.25</v>
      </c>
      <c r="P81">
        <v>752.7</v>
      </c>
      <c r="Q81">
        <v>1.8274999999999999</v>
      </c>
      <c r="R81">
        <v>2.9247999999999998</v>
      </c>
      <c r="S81">
        <v>794.75</v>
      </c>
      <c r="T81">
        <v>69.13</v>
      </c>
      <c r="U81">
        <v>72.97</v>
      </c>
      <c r="V81">
        <v>2.2616999999999998</v>
      </c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</row>
    <row r="82" spans="1:77" x14ac:dyDescent="0.25">
      <c r="A82" s="2">
        <v>46199</v>
      </c>
      <c r="B82">
        <v>607.25</v>
      </c>
      <c r="C82">
        <v>634.5</v>
      </c>
      <c r="D82">
        <v>6.3025000000000002</v>
      </c>
      <c r="E82">
        <v>441.5</v>
      </c>
      <c r="F82">
        <v>1156.25</v>
      </c>
      <c r="G82">
        <v>304.5</v>
      </c>
      <c r="H82">
        <v>67.09</v>
      </c>
      <c r="I82">
        <v>4631</v>
      </c>
      <c r="J82">
        <v>9519</v>
      </c>
      <c r="K82">
        <v>3019</v>
      </c>
      <c r="L82">
        <v>8368</v>
      </c>
      <c r="M82">
        <v>2232</v>
      </c>
      <c r="N82">
        <v>9563</v>
      </c>
      <c r="O82">
        <v>517.75</v>
      </c>
      <c r="P82">
        <v>753.4</v>
      </c>
      <c r="Q82">
        <v>1.8425</v>
      </c>
      <c r="R82">
        <v>2.8618999999999999</v>
      </c>
      <c r="S82">
        <v>775</v>
      </c>
      <c r="T82">
        <v>67.900000000000006</v>
      </c>
      <c r="U82">
        <v>71.849999999999994</v>
      </c>
      <c r="V82">
        <v>2.2185999999999999</v>
      </c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</row>
    <row r="83" spans="1:77" x14ac:dyDescent="0.25">
      <c r="A83" s="2">
        <v>46198</v>
      </c>
      <c r="B83">
        <v>618.25</v>
      </c>
      <c r="C83">
        <v>645.75</v>
      </c>
      <c r="D83">
        <v>6.3925000000000001</v>
      </c>
      <c r="E83">
        <v>443</v>
      </c>
      <c r="F83">
        <v>1157</v>
      </c>
      <c r="G83">
        <v>305</v>
      </c>
      <c r="H83">
        <v>67.19</v>
      </c>
      <c r="I83">
        <v>4623</v>
      </c>
      <c r="J83">
        <v>9421</v>
      </c>
      <c r="K83">
        <v>3001</v>
      </c>
      <c r="L83">
        <v>8302</v>
      </c>
      <c r="M83">
        <v>2222</v>
      </c>
      <c r="N83">
        <v>9529</v>
      </c>
      <c r="O83">
        <v>523</v>
      </c>
      <c r="P83">
        <v>756.7</v>
      </c>
      <c r="Q83">
        <v>1.8225</v>
      </c>
      <c r="R83">
        <v>2.9460999999999999</v>
      </c>
      <c r="S83">
        <v>797.75</v>
      </c>
      <c r="T83">
        <v>69.989999999999995</v>
      </c>
      <c r="U83">
        <v>74.06</v>
      </c>
      <c r="V83">
        <v>2.2757000000000001</v>
      </c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</row>
    <row r="84" spans="1:77" x14ac:dyDescent="0.25">
      <c r="A84" s="2">
        <v>46197</v>
      </c>
      <c r="B84">
        <v>612.75</v>
      </c>
      <c r="C84">
        <v>640.75</v>
      </c>
      <c r="D84">
        <v>6.4050000000000002</v>
      </c>
      <c r="E84">
        <v>434.75</v>
      </c>
      <c r="F84">
        <v>1135</v>
      </c>
      <c r="G84">
        <v>300.10000000000002</v>
      </c>
      <c r="H84">
        <v>65.739999999999995</v>
      </c>
      <c r="I84">
        <v>4709</v>
      </c>
      <c r="J84">
        <v>9599</v>
      </c>
      <c r="K84">
        <v>3005</v>
      </c>
      <c r="L84">
        <v>8333</v>
      </c>
      <c r="M84">
        <v>2242</v>
      </c>
      <c r="N84">
        <v>9674</v>
      </c>
      <c r="O84">
        <v>520.5</v>
      </c>
      <c r="P84">
        <v>753.6</v>
      </c>
      <c r="Q84">
        <v>1.7849999999999999</v>
      </c>
      <c r="R84">
        <v>2.8942000000000001</v>
      </c>
      <c r="S84">
        <v>785.5</v>
      </c>
      <c r="T84">
        <v>68.510000000000005</v>
      </c>
      <c r="U84">
        <v>72.72</v>
      </c>
      <c r="V84">
        <v>2.2351999999999999</v>
      </c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</row>
    <row r="85" spans="1:77" x14ac:dyDescent="0.25">
      <c r="A85" s="2">
        <v>46196</v>
      </c>
      <c r="B85">
        <v>613.75</v>
      </c>
      <c r="C85">
        <v>639.5</v>
      </c>
      <c r="D85">
        <v>6.4124999999999996</v>
      </c>
      <c r="E85">
        <v>437.25</v>
      </c>
      <c r="F85">
        <v>1141.75</v>
      </c>
      <c r="G85">
        <v>301.3</v>
      </c>
      <c r="H85">
        <v>66.58</v>
      </c>
      <c r="I85">
        <v>4733</v>
      </c>
      <c r="J85">
        <v>9644</v>
      </c>
      <c r="K85">
        <v>2992</v>
      </c>
      <c r="L85">
        <v>8315</v>
      </c>
      <c r="M85">
        <v>2221</v>
      </c>
      <c r="N85">
        <v>9642</v>
      </c>
      <c r="O85">
        <v>521.5</v>
      </c>
      <c r="P85">
        <v>757.2</v>
      </c>
      <c r="Q85">
        <v>1.7749999999999999</v>
      </c>
      <c r="R85">
        <v>2.9384000000000001</v>
      </c>
      <c r="S85">
        <v>801.5</v>
      </c>
      <c r="T85">
        <v>70.73</v>
      </c>
      <c r="U85">
        <v>75.02</v>
      </c>
      <c r="V85">
        <v>2.29</v>
      </c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</row>
    <row r="86" spans="1:77" x14ac:dyDescent="0.25">
      <c r="A86" s="2">
        <v>46195</v>
      </c>
      <c r="B86">
        <v>624</v>
      </c>
      <c r="C86">
        <v>654.25</v>
      </c>
      <c r="D86">
        <v>6.6150000000000002</v>
      </c>
      <c r="E86">
        <v>439.5</v>
      </c>
      <c r="F86">
        <v>1141.5</v>
      </c>
      <c r="G86">
        <v>303.39999999999998</v>
      </c>
      <c r="H86">
        <v>66.900000000000006</v>
      </c>
      <c r="I86">
        <v>4754</v>
      </c>
      <c r="J86">
        <v>9634</v>
      </c>
      <c r="K86">
        <v>2997</v>
      </c>
      <c r="L86">
        <v>8331</v>
      </c>
      <c r="M86">
        <v>2219</v>
      </c>
      <c r="N86">
        <v>9656</v>
      </c>
      <c r="O86">
        <v>516.75</v>
      </c>
      <c r="P86">
        <v>751.7</v>
      </c>
      <c r="Q86">
        <v>1.7825</v>
      </c>
      <c r="R86">
        <v>2.9146999999999998</v>
      </c>
      <c r="S86">
        <v>801.25</v>
      </c>
      <c r="T86">
        <v>70.989999999999995</v>
      </c>
      <c r="U86">
        <v>75.36</v>
      </c>
      <c r="V86">
        <v>2.2972999999999999</v>
      </c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</row>
    <row r="87" spans="1:77" x14ac:dyDescent="0.25">
      <c r="A87" s="2">
        <v>46192</v>
      </c>
      <c r="I87">
        <v>4710</v>
      </c>
      <c r="O87">
        <v>510.25</v>
      </c>
      <c r="P87">
        <v>741.2</v>
      </c>
      <c r="S87">
        <v>820.5</v>
      </c>
      <c r="U87">
        <v>77.14</v>
      </c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</row>
    <row r="88" spans="1:77" x14ac:dyDescent="0.25">
      <c r="A88" s="2">
        <v>46191</v>
      </c>
      <c r="B88">
        <v>630.25</v>
      </c>
      <c r="C88">
        <v>665.75</v>
      </c>
      <c r="D88">
        <v>6.7050000000000001</v>
      </c>
      <c r="E88">
        <v>444</v>
      </c>
      <c r="F88">
        <v>1142.75</v>
      </c>
      <c r="G88">
        <v>303.3</v>
      </c>
      <c r="H88">
        <v>65.8</v>
      </c>
      <c r="I88">
        <v>4658</v>
      </c>
      <c r="J88">
        <v>9585</v>
      </c>
      <c r="K88">
        <v>3011</v>
      </c>
      <c r="L88">
        <v>8325</v>
      </c>
      <c r="M88">
        <v>2225</v>
      </c>
      <c r="N88">
        <v>9696</v>
      </c>
      <c r="O88">
        <v>509</v>
      </c>
      <c r="P88">
        <v>742.2</v>
      </c>
      <c r="Q88">
        <v>1.8125</v>
      </c>
      <c r="R88">
        <v>2.9483000000000001</v>
      </c>
      <c r="S88">
        <v>792.5</v>
      </c>
      <c r="T88">
        <v>72.489999999999995</v>
      </c>
      <c r="U88">
        <v>76.81</v>
      </c>
      <c r="V88">
        <v>2.3290000000000002</v>
      </c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</row>
    <row r="89" spans="1:77" x14ac:dyDescent="0.25">
      <c r="A89" s="2">
        <v>46190</v>
      </c>
      <c r="B89">
        <v>636.75</v>
      </c>
      <c r="C89">
        <v>673.75</v>
      </c>
      <c r="D89">
        <v>6.7024999999999997</v>
      </c>
      <c r="E89">
        <v>448.75</v>
      </c>
      <c r="F89">
        <v>1149.25</v>
      </c>
      <c r="G89">
        <v>306.10000000000002</v>
      </c>
      <c r="H89">
        <v>67.17</v>
      </c>
      <c r="J89">
        <v>9616</v>
      </c>
      <c r="K89">
        <v>3020</v>
      </c>
      <c r="L89">
        <v>8346</v>
      </c>
      <c r="M89">
        <v>2229</v>
      </c>
      <c r="N89">
        <v>9772</v>
      </c>
      <c r="O89">
        <v>516</v>
      </c>
      <c r="P89">
        <v>755.1</v>
      </c>
      <c r="Q89">
        <v>1.7875000000000001</v>
      </c>
      <c r="R89">
        <v>2.9929000000000001</v>
      </c>
      <c r="S89">
        <v>825.5</v>
      </c>
      <c r="T89">
        <v>72.569999999999993</v>
      </c>
      <c r="U89">
        <v>76.72</v>
      </c>
      <c r="V89">
        <v>2.3241999999999998</v>
      </c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</row>
    <row r="90" spans="1:77" x14ac:dyDescent="0.25">
      <c r="A90" s="2">
        <v>46189</v>
      </c>
      <c r="B90">
        <v>621.75</v>
      </c>
      <c r="C90">
        <v>656.25</v>
      </c>
      <c r="D90">
        <v>6.5750000000000002</v>
      </c>
      <c r="E90">
        <v>442.5</v>
      </c>
      <c r="F90">
        <v>1146.5</v>
      </c>
      <c r="G90">
        <v>307.2</v>
      </c>
      <c r="H90">
        <v>68.040000000000006</v>
      </c>
      <c r="I90">
        <v>4660</v>
      </c>
      <c r="J90">
        <v>9519</v>
      </c>
      <c r="K90">
        <v>2997</v>
      </c>
      <c r="L90">
        <v>8279</v>
      </c>
      <c r="M90">
        <v>2214</v>
      </c>
      <c r="N90">
        <v>9770</v>
      </c>
      <c r="O90">
        <v>515</v>
      </c>
      <c r="P90">
        <v>762.4</v>
      </c>
      <c r="Q90">
        <v>1.7849999999999999</v>
      </c>
      <c r="R90">
        <v>2.9992999999999999</v>
      </c>
      <c r="S90">
        <v>826</v>
      </c>
      <c r="T90">
        <v>72.5</v>
      </c>
      <c r="U90">
        <v>76.66</v>
      </c>
      <c r="V90">
        <v>2.335</v>
      </c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</row>
    <row r="91" spans="1:77" x14ac:dyDescent="0.25">
      <c r="A91" s="2">
        <v>46188</v>
      </c>
      <c r="B91">
        <v>616.75</v>
      </c>
      <c r="C91">
        <v>658.5</v>
      </c>
      <c r="D91">
        <v>6.62</v>
      </c>
      <c r="E91">
        <v>441.75</v>
      </c>
      <c r="F91">
        <v>1134.75</v>
      </c>
      <c r="G91">
        <v>305.60000000000002</v>
      </c>
      <c r="H91">
        <v>69.31</v>
      </c>
      <c r="I91">
        <v>4574</v>
      </c>
      <c r="J91">
        <v>9507</v>
      </c>
      <c r="K91">
        <v>2999</v>
      </c>
      <c r="L91">
        <v>8290</v>
      </c>
      <c r="M91">
        <v>2214</v>
      </c>
      <c r="N91">
        <v>9803</v>
      </c>
      <c r="O91">
        <v>519.25</v>
      </c>
      <c r="P91">
        <v>768.7</v>
      </c>
      <c r="Q91">
        <v>1.8149999999999999</v>
      </c>
      <c r="R91">
        <v>3.081</v>
      </c>
      <c r="S91">
        <v>846.75</v>
      </c>
      <c r="T91">
        <v>74.72</v>
      </c>
      <c r="U91">
        <v>78.87</v>
      </c>
      <c r="V91">
        <v>2.3950999999999998</v>
      </c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</row>
    <row r="92" spans="1:77" x14ac:dyDescent="0.25">
      <c r="A92" s="2">
        <v>46185</v>
      </c>
      <c r="B92">
        <v>612</v>
      </c>
      <c r="C92">
        <v>654</v>
      </c>
      <c r="D92">
        <v>6.6475</v>
      </c>
      <c r="E92">
        <v>440.25</v>
      </c>
      <c r="F92">
        <v>1132</v>
      </c>
      <c r="G92">
        <v>304.8</v>
      </c>
      <c r="H92">
        <v>69.67</v>
      </c>
      <c r="I92">
        <v>4598</v>
      </c>
      <c r="J92">
        <v>9626</v>
      </c>
      <c r="K92">
        <v>3000</v>
      </c>
      <c r="L92">
        <v>8331</v>
      </c>
      <c r="M92">
        <v>2210</v>
      </c>
      <c r="N92">
        <v>9858</v>
      </c>
      <c r="O92">
        <v>528</v>
      </c>
      <c r="P92">
        <v>774.2</v>
      </c>
      <c r="Q92">
        <v>1.85</v>
      </c>
      <c r="R92">
        <v>3.1844000000000001</v>
      </c>
      <c r="S92">
        <v>871.25</v>
      </c>
      <c r="T92">
        <v>77.41</v>
      </c>
      <c r="U92">
        <v>81.69</v>
      </c>
      <c r="V92">
        <v>2.4579</v>
      </c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</row>
    <row r="93" spans="1:77" x14ac:dyDescent="0.25">
      <c r="A93" s="2">
        <v>46184</v>
      </c>
      <c r="B93">
        <v>614.75</v>
      </c>
      <c r="C93">
        <v>656.25</v>
      </c>
      <c r="D93">
        <v>6.68</v>
      </c>
      <c r="E93">
        <v>439.5</v>
      </c>
      <c r="F93">
        <v>1134</v>
      </c>
      <c r="G93">
        <v>304.5</v>
      </c>
      <c r="H93">
        <v>70.14</v>
      </c>
      <c r="I93">
        <v>4690</v>
      </c>
      <c r="J93">
        <v>9645</v>
      </c>
      <c r="K93">
        <v>3000</v>
      </c>
      <c r="L93">
        <v>8336</v>
      </c>
      <c r="M93">
        <v>2210</v>
      </c>
      <c r="N93">
        <v>9917</v>
      </c>
      <c r="O93">
        <v>533.25</v>
      </c>
      <c r="P93">
        <v>781.2</v>
      </c>
      <c r="Q93">
        <v>1.8425</v>
      </c>
      <c r="R93">
        <v>3.2968000000000002</v>
      </c>
      <c r="S93">
        <v>929.25</v>
      </c>
      <c r="T93">
        <v>80.31</v>
      </c>
      <c r="U93">
        <v>84.62</v>
      </c>
      <c r="V93">
        <v>2.5240999999999998</v>
      </c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</row>
    <row r="94" spans="1:77" x14ac:dyDescent="0.25">
      <c r="A94" s="2">
        <v>46183</v>
      </c>
      <c r="B94">
        <v>617.25</v>
      </c>
      <c r="C94">
        <v>655.5</v>
      </c>
      <c r="D94">
        <v>6.665</v>
      </c>
      <c r="E94">
        <v>446.75</v>
      </c>
      <c r="F94">
        <v>1138.5</v>
      </c>
      <c r="G94">
        <v>305.5</v>
      </c>
      <c r="H94">
        <v>70.930000000000007</v>
      </c>
      <c r="I94">
        <v>4679</v>
      </c>
      <c r="J94">
        <v>9570</v>
      </c>
      <c r="K94">
        <v>2980</v>
      </c>
      <c r="L94">
        <v>8297</v>
      </c>
      <c r="M94">
        <v>2196</v>
      </c>
      <c r="N94">
        <v>9866</v>
      </c>
      <c r="O94">
        <v>533.25</v>
      </c>
      <c r="P94">
        <v>783.2</v>
      </c>
      <c r="Q94">
        <v>1.8674999999999999</v>
      </c>
      <c r="R94">
        <v>3.3746</v>
      </c>
      <c r="S94">
        <v>924.25</v>
      </c>
      <c r="T94">
        <v>81.52</v>
      </c>
      <c r="U94">
        <v>85.89</v>
      </c>
      <c r="V94">
        <v>2.5583</v>
      </c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</row>
    <row r="95" spans="1:77" x14ac:dyDescent="0.25">
      <c r="A95" s="2">
        <v>46182</v>
      </c>
      <c r="B95">
        <v>614.25</v>
      </c>
      <c r="C95">
        <v>654.5</v>
      </c>
      <c r="D95">
        <v>6.6574999999999998</v>
      </c>
      <c r="E95">
        <v>445.25</v>
      </c>
      <c r="F95">
        <v>1132</v>
      </c>
      <c r="G95">
        <v>306.39999999999998</v>
      </c>
      <c r="H95">
        <v>70.58</v>
      </c>
      <c r="I95">
        <v>4667</v>
      </c>
      <c r="J95">
        <v>9609</v>
      </c>
      <c r="K95">
        <v>2978</v>
      </c>
      <c r="L95">
        <v>8307</v>
      </c>
      <c r="M95">
        <v>2202</v>
      </c>
      <c r="N95">
        <v>9910</v>
      </c>
      <c r="O95">
        <v>526.25</v>
      </c>
      <c r="P95">
        <v>776.8</v>
      </c>
      <c r="Q95">
        <v>1.8774999999999999</v>
      </c>
      <c r="R95">
        <v>3.3283999999999998</v>
      </c>
      <c r="S95">
        <v>912.5</v>
      </c>
      <c r="T95">
        <v>80.06</v>
      </c>
      <c r="U95">
        <v>84.58</v>
      </c>
      <c r="V95">
        <v>2.5270999999999999</v>
      </c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</row>
    <row r="96" spans="1:77" x14ac:dyDescent="0.25">
      <c r="A96" s="2">
        <v>46181</v>
      </c>
      <c r="B96">
        <v>613.75</v>
      </c>
      <c r="C96">
        <v>654.25</v>
      </c>
      <c r="D96">
        <v>6.665</v>
      </c>
      <c r="E96">
        <v>446</v>
      </c>
      <c r="F96">
        <v>1135.5</v>
      </c>
      <c r="G96">
        <v>309.10000000000002</v>
      </c>
      <c r="H96">
        <v>70.709999999999994</v>
      </c>
      <c r="I96">
        <v>4701</v>
      </c>
      <c r="J96">
        <v>9672</v>
      </c>
      <c r="K96">
        <v>2984</v>
      </c>
      <c r="L96">
        <v>8367</v>
      </c>
      <c r="M96">
        <v>2209</v>
      </c>
      <c r="N96">
        <v>9990</v>
      </c>
      <c r="O96">
        <v>527.5</v>
      </c>
      <c r="P96">
        <v>777.1</v>
      </c>
      <c r="Q96">
        <v>1.89</v>
      </c>
      <c r="R96">
        <v>3.3683000000000001</v>
      </c>
      <c r="S96">
        <v>936</v>
      </c>
      <c r="T96">
        <v>81.45</v>
      </c>
      <c r="U96">
        <v>85.96</v>
      </c>
      <c r="V96">
        <v>2.5565000000000002</v>
      </c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</row>
    <row r="97" spans="1:77" x14ac:dyDescent="0.25">
      <c r="A97" s="2">
        <v>46178</v>
      </c>
      <c r="B97">
        <v>611.5</v>
      </c>
      <c r="C97">
        <v>646.75</v>
      </c>
      <c r="D97">
        <v>6.6974999999999998</v>
      </c>
      <c r="E97">
        <v>446</v>
      </c>
      <c r="F97">
        <v>1137.5</v>
      </c>
      <c r="G97">
        <v>311.2</v>
      </c>
      <c r="H97">
        <v>70.81</v>
      </c>
      <c r="I97">
        <v>4677</v>
      </c>
      <c r="J97">
        <v>9760</v>
      </c>
      <c r="K97">
        <v>2996</v>
      </c>
      <c r="L97">
        <v>8428</v>
      </c>
      <c r="M97">
        <v>2223</v>
      </c>
      <c r="N97">
        <v>10069</v>
      </c>
      <c r="O97">
        <v>525.75</v>
      </c>
      <c r="P97">
        <v>771.9</v>
      </c>
      <c r="Q97">
        <v>1.9</v>
      </c>
      <c r="R97">
        <v>3.3327</v>
      </c>
      <c r="S97">
        <v>922.5</v>
      </c>
      <c r="T97">
        <v>79.459999999999994</v>
      </c>
      <c r="U97">
        <v>84.12</v>
      </c>
      <c r="V97">
        <v>2.5133999999999999</v>
      </c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</row>
    <row r="98" spans="1:77" x14ac:dyDescent="0.25">
      <c r="A98" s="2">
        <v>46177</v>
      </c>
      <c r="B98">
        <v>613.5</v>
      </c>
      <c r="C98">
        <v>648.5</v>
      </c>
      <c r="D98">
        <v>6.69</v>
      </c>
      <c r="E98">
        <v>451.75</v>
      </c>
      <c r="F98">
        <v>1141.5</v>
      </c>
      <c r="G98">
        <v>313.3</v>
      </c>
      <c r="H98">
        <v>72.25</v>
      </c>
      <c r="I98">
        <v>4712</v>
      </c>
      <c r="J98">
        <v>9967</v>
      </c>
      <c r="K98">
        <v>3024</v>
      </c>
      <c r="L98">
        <v>8553</v>
      </c>
      <c r="M98">
        <v>2245</v>
      </c>
      <c r="N98">
        <v>10258</v>
      </c>
      <c r="O98">
        <v>528.25</v>
      </c>
      <c r="P98">
        <v>793.9</v>
      </c>
      <c r="Q98">
        <v>1.895</v>
      </c>
      <c r="R98">
        <v>3.3761999999999999</v>
      </c>
      <c r="S98">
        <v>925.5</v>
      </c>
      <c r="T98">
        <v>80.459999999999994</v>
      </c>
      <c r="U98">
        <v>85.04</v>
      </c>
      <c r="V98">
        <v>2.5308000000000002</v>
      </c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</row>
    <row r="99" spans="1:77" x14ac:dyDescent="0.25">
      <c r="A99" s="2">
        <v>46176</v>
      </c>
      <c r="B99">
        <v>620.5</v>
      </c>
      <c r="C99">
        <v>652</v>
      </c>
      <c r="D99">
        <v>6.7175000000000002</v>
      </c>
      <c r="E99">
        <v>459.75</v>
      </c>
      <c r="F99">
        <v>1167.25</v>
      </c>
      <c r="G99">
        <v>319.2</v>
      </c>
      <c r="H99">
        <v>74</v>
      </c>
      <c r="I99">
        <v>4787</v>
      </c>
      <c r="J99">
        <v>9963</v>
      </c>
      <c r="K99">
        <v>3032</v>
      </c>
      <c r="L99">
        <v>8547</v>
      </c>
      <c r="M99">
        <v>2253</v>
      </c>
      <c r="N99">
        <v>10108</v>
      </c>
      <c r="O99">
        <v>538.5</v>
      </c>
      <c r="P99">
        <v>808</v>
      </c>
      <c r="Q99">
        <v>1.91</v>
      </c>
      <c r="R99">
        <v>3.4841000000000002</v>
      </c>
      <c r="S99">
        <v>948</v>
      </c>
      <c r="T99">
        <v>82.42</v>
      </c>
      <c r="U99">
        <v>86.91</v>
      </c>
      <c r="V99">
        <v>2.5895000000000001</v>
      </c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</row>
    <row r="100" spans="1:77" x14ac:dyDescent="0.25">
      <c r="A100" s="2">
        <v>46175</v>
      </c>
      <c r="B100">
        <v>635.25</v>
      </c>
      <c r="C100">
        <v>662.25</v>
      </c>
      <c r="D100">
        <v>6.8150000000000004</v>
      </c>
      <c r="E100">
        <v>466.5</v>
      </c>
      <c r="F100">
        <v>1177.75</v>
      </c>
      <c r="G100">
        <v>320</v>
      </c>
      <c r="H100">
        <v>73.290000000000006</v>
      </c>
      <c r="J100">
        <v>9949</v>
      </c>
      <c r="K100">
        <v>3039</v>
      </c>
      <c r="L100">
        <v>8555</v>
      </c>
      <c r="M100">
        <v>2264</v>
      </c>
      <c r="N100">
        <v>9931</v>
      </c>
      <c r="O100">
        <v>532.5</v>
      </c>
      <c r="P100">
        <v>789.1</v>
      </c>
      <c r="Q100">
        <v>1.9275</v>
      </c>
      <c r="R100">
        <v>3.3774999999999999</v>
      </c>
      <c r="S100">
        <v>918</v>
      </c>
      <c r="T100">
        <v>80.959999999999994</v>
      </c>
      <c r="U100">
        <v>85.99</v>
      </c>
      <c r="V100">
        <v>2.5537999999999998</v>
      </c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</row>
    <row r="101" spans="1:77" x14ac:dyDescent="0.25">
      <c r="A101" s="2">
        <v>46174</v>
      </c>
      <c r="B101">
        <v>640.5</v>
      </c>
      <c r="C101">
        <v>673.5</v>
      </c>
      <c r="D101">
        <v>6.9424999999999999</v>
      </c>
      <c r="E101">
        <v>472.5</v>
      </c>
      <c r="F101">
        <v>1188.75</v>
      </c>
      <c r="G101">
        <v>319.10000000000002</v>
      </c>
      <c r="H101">
        <v>73.83</v>
      </c>
      <c r="J101">
        <v>9903</v>
      </c>
      <c r="K101">
        <v>3046</v>
      </c>
      <c r="L101">
        <v>8549</v>
      </c>
      <c r="M101">
        <v>2259</v>
      </c>
      <c r="N101">
        <v>9892</v>
      </c>
      <c r="O101">
        <v>533.5</v>
      </c>
      <c r="P101">
        <v>793.7</v>
      </c>
      <c r="Q101">
        <v>1.9450000000000001</v>
      </c>
      <c r="R101">
        <v>3.3275000000000001</v>
      </c>
      <c r="S101">
        <v>926.5</v>
      </c>
      <c r="T101">
        <v>80.23</v>
      </c>
      <c r="U101">
        <v>84.88</v>
      </c>
      <c r="V101">
        <v>2.5142000000000002</v>
      </c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</row>
    <row r="102" spans="1:77" x14ac:dyDescent="0.25">
      <c r="A102" s="2">
        <v>46171</v>
      </c>
      <c r="B102">
        <v>643</v>
      </c>
      <c r="C102">
        <v>677</v>
      </c>
      <c r="D102">
        <v>7.0724999999999998</v>
      </c>
      <c r="E102">
        <v>475</v>
      </c>
      <c r="F102">
        <v>1190</v>
      </c>
      <c r="G102">
        <v>320.3</v>
      </c>
      <c r="H102">
        <v>72.44</v>
      </c>
      <c r="I102">
        <v>4649</v>
      </c>
      <c r="J102">
        <v>9795</v>
      </c>
      <c r="K102">
        <v>3058</v>
      </c>
      <c r="L102">
        <v>8507</v>
      </c>
      <c r="M102">
        <v>2258</v>
      </c>
      <c r="N102">
        <v>9837</v>
      </c>
      <c r="O102">
        <v>530</v>
      </c>
      <c r="P102">
        <v>780.7</v>
      </c>
      <c r="Q102">
        <v>1.9475</v>
      </c>
      <c r="R102">
        <v>3.2136</v>
      </c>
      <c r="S102">
        <v>886</v>
      </c>
      <c r="T102">
        <v>78.290000000000006</v>
      </c>
      <c r="U102">
        <v>82.94</v>
      </c>
      <c r="V102">
        <v>2.4575</v>
      </c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</row>
    <row r="103" spans="1:77" x14ac:dyDescent="0.25">
      <c r="A103" s="2">
        <v>46170</v>
      </c>
      <c r="B103">
        <v>656.25</v>
      </c>
      <c r="C103">
        <v>692.25</v>
      </c>
      <c r="D103">
        <v>7.1974999999999998</v>
      </c>
      <c r="E103">
        <v>482.25</v>
      </c>
      <c r="F103">
        <v>1194</v>
      </c>
      <c r="G103">
        <v>323.60000000000002</v>
      </c>
      <c r="H103">
        <v>71.62</v>
      </c>
      <c r="I103">
        <v>4635</v>
      </c>
      <c r="J103">
        <v>9754</v>
      </c>
      <c r="K103">
        <v>3049</v>
      </c>
      <c r="L103">
        <v>8461</v>
      </c>
      <c r="M103">
        <v>2256</v>
      </c>
      <c r="N103">
        <v>9751</v>
      </c>
      <c r="O103">
        <v>531.25</v>
      </c>
      <c r="P103">
        <v>786.1</v>
      </c>
      <c r="Q103">
        <v>1.95</v>
      </c>
      <c r="R103">
        <v>3.2685</v>
      </c>
      <c r="S103">
        <v>897.5</v>
      </c>
      <c r="T103">
        <v>79.59</v>
      </c>
      <c r="U103">
        <v>84.47</v>
      </c>
      <c r="V103">
        <v>2.4969000000000001</v>
      </c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</row>
    <row r="104" spans="1:77" x14ac:dyDescent="0.25">
      <c r="A104" s="2">
        <v>46169</v>
      </c>
      <c r="B104">
        <v>655.75</v>
      </c>
      <c r="C104">
        <v>697.25</v>
      </c>
      <c r="D104">
        <v>7.2324999999999999</v>
      </c>
      <c r="E104">
        <v>477.5</v>
      </c>
      <c r="F104">
        <v>1181.5</v>
      </c>
      <c r="G104">
        <v>320.7</v>
      </c>
      <c r="H104">
        <v>70.27</v>
      </c>
      <c r="J104">
        <v>9714</v>
      </c>
      <c r="K104">
        <v>3043</v>
      </c>
      <c r="L104">
        <v>8431</v>
      </c>
      <c r="M104">
        <v>2259</v>
      </c>
      <c r="N104">
        <v>9673</v>
      </c>
      <c r="O104">
        <v>528.5</v>
      </c>
      <c r="P104">
        <v>775.5</v>
      </c>
      <c r="Q104">
        <v>1.9375</v>
      </c>
      <c r="R104">
        <v>3.2303000000000002</v>
      </c>
      <c r="S104">
        <v>896.75</v>
      </c>
      <c r="T104">
        <v>78.069999999999993</v>
      </c>
      <c r="U104">
        <v>83.06</v>
      </c>
      <c r="V104">
        <v>2.4617</v>
      </c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</row>
    <row r="105" spans="1:77" x14ac:dyDescent="0.25">
      <c r="A105" s="2">
        <v>46168</v>
      </c>
      <c r="B105">
        <v>668.5</v>
      </c>
      <c r="C105">
        <v>704.25</v>
      </c>
      <c r="D105">
        <v>7.3075000000000001</v>
      </c>
      <c r="E105">
        <v>482</v>
      </c>
      <c r="F105">
        <v>1180.25</v>
      </c>
      <c r="G105">
        <v>319.39999999999998</v>
      </c>
      <c r="H105">
        <v>69.75</v>
      </c>
      <c r="I105">
        <v>4610</v>
      </c>
      <c r="J105">
        <v>9679</v>
      </c>
      <c r="K105">
        <v>3039</v>
      </c>
      <c r="L105">
        <v>8409</v>
      </c>
      <c r="M105">
        <v>2263</v>
      </c>
      <c r="N105">
        <v>9641</v>
      </c>
      <c r="O105">
        <v>528.25</v>
      </c>
      <c r="P105">
        <v>768.1</v>
      </c>
      <c r="Q105">
        <v>1.95</v>
      </c>
      <c r="R105">
        <v>3.2608999999999999</v>
      </c>
      <c r="S105">
        <v>912.75</v>
      </c>
      <c r="T105">
        <v>80.010000000000005</v>
      </c>
      <c r="U105">
        <v>84.94</v>
      </c>
      <c r="V105">
        <v>2.516</v>
      </c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</row>
    <row r="106" spans="1:77" x14ac:dyDescent="0.25">
      <c r="A106" s="2">
        <v>46167</v>
      </c>
      <c r="I106">
        <v>4567</v>
      </c>
      <c r="J106">
        <v>9627</v>
      </c>
      <c r="K106">
        <v>3051</v>
      </c>
      <c r="L106">
        <v>8414</v>
      </c>
      <c r="M106">
        <v>2279</v>
      </c>
      <c r="N106">
        <v>9646</v>
      </c>
      <c r="O106">
        <v>519.5</v>
      </c>
      <c r="P106">
        <v>755</v>
      </c>
      <c r="S106">
        <v>899.5</v>
      </c>
      <c r="U106">
        <v>83.31</v>
      </c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</row>
    <row r="107" spans="1:77" x14ac:dyDescent="0.25">
      <c r="A107" s="2">
        <v>46164</v>
      </c>
      <c r="B107">
        <v>679</v>
      </c>
      <c r="C107">
        <v>709</v>
      </c>
      <c r="D107">
        <v>7.2750000000000004</v>
      </c>
      <c r="E107">
        <v>486.5</v>
      </c>
      <c r="F107">
        <v>1187.75</v>
      </c>
      <c r="G107">
        <v>322.39999999999998</v>
      </c>
      <c r="H107">
        <v>69.38</v>
      </c>
      <c r="I107">
        <v>4578</v>
      </c>
      <c r="J107">
        <v>9650</v>
      </c>
      <c r="K107">
        <v>3048</v>
      </c>
      <c r="L107">
        <v>8475</v>
      </c>
      <c r="M107">
        <v>2277</v>
      </c>
      <c r="N107">
        <v>9692</v>
      </c>
      <c r="O107">
        <v>529.75</v>
      </c>
      <c r="P107">
        <v>768.4</v>
      </c>
      <c r="Q107">
        <v>1.9624999999999999</v>
      </c>
      <c r="R107">
        <v>3.3188</v>
      </c>
      <c r="S107">
        <v>929.25</v>
      </c>
      <c r="T107">
        <v>81.430000000000007</v>
      </c>
      <c r="U107">
        <v>86.38</v>
      </c>
      <c r="V107">
        <v>2.5767000000000002</v>
      </c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</row>
    <row r="108" spans="1:77" x14ac:dyDescent="0.25">
      <c r="A108" s="2">
        <v>46163</v>
      </c>
      <c r="B108">
        <v>680.75</v>
      </c>
      <c r="C108">
        <v>713.25</v>
      </c>
      <c r="D108">
        <v>7.2874999999999996</v>
      </c>
      <c r="E108">
        <v>485</v>
      </c>
      <c r="F108">
        <v>1186.75</v>
      </c>
      <c r="G108">
        <v>321.8</v>
      </c>
      <c r="H108">
        <v>69.3</v>
      </c>
      <c r="I108">
        <v>4563</v>
      </c>
      <c r="J108">
        <v>9789</v>
      </c>
      <c r="K108">
        <v>3055</v>
      </c>
      <c r="L108">
        <v>8531</v>
      </c>
      <c r="M108">
        <v>2290</v>
      </c>
      <c r="N108">
        <v>9779</v>
      </c>
      <c r="O108">
        <v>527</v>
      </c>
      <c r="P108">
        <v>767.8</v>
      </c>
      <c r="Q108">
        <v>1.95</v>
      </c>
      <c r="R108">
        <v>3.2887</v>
      </c>
      <c r="S108">
        <v>953</v>
      </c>
      <c r="T108">
        <v>81.19</v>
      </c>
      <c r="U108">
        <v>85.96</v>
      </c>
      <c r="V108">
        <v>2.5402</v>
      </c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</row>
    <row r="109" spans="1:77" x14ac:dyDescent="0.25">
      <c r="A109" s="2">
        <v>46162</v>
      </c>
      <c r="B109">
        <v>692.25</v>
      </c>
      <c r="C109">
        <v>723.5</v>
      </c>
      <c r="D109">
        <v>7.3475000000000001</v>
      </c>
      <c r="E109">
        <v>489.25</v>
      </c>
      <c r="F109">
        <v>1193.5</v>
      </c>
      <c r="G109">
        <v>324.39999999999998</v>
      </c>
      <c r="H109">
        <v>69.87</v>
      </c>
      <c r="I109">
        <v>4658</v>
      </c>
      <c r="J109">
        <v>9834</v>
      </c>
      <c r="K109">
        <v>3079</v>
      </c>
      <c r="L109">
        <v>8568</v>
      </c>
      <c r="M109">
        <v>2306</v>
      </c>
      <c r="N109">
        <v>9805</v>
      </c>
      <c r="O109">
        <v>528.75</v>
      </c>
      <c r="P109">
        <v>766.9</v>
      </c>
      <c r="Q109">
        <v>1.9424999999999999</v>
      </c>
      <c r="R109">
        <v>3.3405</v>
      </c>
      <c r="S109">
        <v>938.25</v>
      </c>
      <c r="T109">
        <v>81.45</v>
      </c>
      <c r="U109">
        <v>86.31</v>
      </c>
      <c r="V109">
        <v>2.5743999999999998</v>
      </c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</row>
    <row r="110" spans="1:77" x14ac:dyDescent="0.25">
      <c r="A110" s="2">
        <v>46161</v>
      </c>
      <c r="B110">
        <v>698.75</v>
      </c>
      <c r="C110">
        <v>727.25</v>
      </c>
      <c r="D110">
        <v>7.3674999999999997</v>
      </c>
      <c r="E110">
        <v>497.75</v>
      </c>
      <c r="F110">
        <v>1203</v>
      </c>
      <c r="G110">
        <v>325.5</v>
      </c>
      <c r="H110">
        <v>70.42</v>
      </c>
      <c r="I110">
        <v>4627</v>
      </c>
      <c r="J110">
        <v>9712</v>
      </c>
      <c r="K110">
        <v>3077</v>
      </c>
      <c r="L110">
        <v>8478</v>
      </c>
      <c r="M110">
        <v>2299</v>
      </c>
      <c r="N110">
        <v>9630</v>
      </c>
      <c r="O110">
        <v>530.25</v>
      </c>
      <c r="P110">
        <v>770.9</v>
      </c>
      <c r="Q110">
        <v>1.9524999999999999</v>
      </c>
      <c r="R110">
        <v>3.4552</v>
      </c>
      <c r="S110">
        <v>956.25</v>
      </c>
      <c r="T110">
        <v>84.74</v>
      </c>
      <c r="U110">
        <v>89.64</v>
      </c>
      <c r="V110">
        <v>2.6760999999999999</v>
      </c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</row>
    <row r="111" spans="1:77" x14ac:dyDescent="0.25">
      <c r="A111" s="2">
        <v>46160</v>
      </c>
      <c r="B111">
        <v>696.25</v>
      </c>
      <c r="C111">
        <v>727.5</v>
      </c>
      <c r="D111">
        <v>7.4175000000000004</v>
      </c>
      <c r="E111">
        <v>498</v>
      </c>
      <c r="F111">
        <v>1201</v>
      </c>
      <c r="G111">
        <v>325.60000000000002</v>
      </c>
      <c r="H111">
        <v>70.69</v>
      </c>
      <c r="I111">
        <v>4575</v>
      </c>
      <c r="J111">
        <v>9632</v>
      </c>
      <c r="K111">
        <v>3045</v>
      </c>
      <c r="L111">
        <v>8412</v>
      </c>
      <c r="M111">
        <v>2279</v>
      </c>
      <c r="N111">
        <v>9538</v>
      </c>
      <c r="O111">
        <v>529.75</v>
      </c>
      <c r="Q111">
        <v>1.9475</v>
      </c>
      <c r="R111">
        <v>3.4457</v>
      </c>
      <c r="S111">
        <v>959</v>
      </c>
      <c r="T111">
        <v>85.32</v>
      </c>
      <c r="U111">
        <v>90.49</v>
      </c>
      <c r="V111">
        <v>2.6983999999999999</v>
      </c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</row>
    <row r="112" spans="1:77" x14ac:dyDescent="0.25">
      <c r="A112" s="2">
        <v>46157</v>
      </c>
      <c r="B112">
        <v>669.75</v>
      </c>
      <c r="C112">
        <v>711.25</v>
      </c>
      <c r="D112">
        <v>7.2450000000000001</v>
      </c>
      <c r="E112">
        <v>481</v>
      </c>
      <c r="F112">
        <v>1170.75</v>
      </c>
      <c r="G112">
        <v>322.10000000000002</v>
      </c>
      <c r="H112">
        <v>69.17</v>
      </c>
      <c r="I112">
        <v>4501</v>
      </c>
      <c r="J112">
        <v>9541</v>
      </c>
      <c r="K112">
        <v>3052</v>
      </c>
      <c r="L112">
        <v>8421</v>
      </c>
      <c r="M112">
        <v>2291</v>
      </c>
      <c r="N112">
        <v>9580</v>
      </c>
      <c r="O112">
        <v>524.25</v>
      </c>
      <c r="P112">
        <v>757.3</v>
      </c>
      <c r="Q112">
        <v>1.89</v>
      </c>
      <c r="R112">
        <v>3.3574000000000002</v>
      </c>
      <c r="S112">
        <v>940.25</v>
      </c>
      <c r="T112">
        <v>83.42</v>
      </c>
      <c r="U112">
        <v>88.88</v>
      </c>
      <c r="V112">
        <v>2.6453000000000002</v>
      </c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</row>
    <row r="113" spans="1:77" x14ac:dyDescent="0.25">
      <c r="A113" s="2">
        <v>46156</v>
      </c>
      <c r="B113">
        <v>691</v>
      </c>
      <c r="C113">
        <v>730.5</v>
      </c>
      <c r="D113">
        <v>7.4124999999999996</v>
      </c>
      <c r="E113">
        <v>491.25</v>
      </c>
      <c r="F113">
        <v>1183.5</v>
      </c>
      <c r="G113">
        <v>322.8</v>
      </c>
      <c r="H113">
        <v>69.31</v>
      </c>
      <c r="I113">
        <v>4490</v>
      </c>
      <c r="J113">
        <v>9597</v>
      </c>
      <c r="K113">
        <v>3096</v>
      </c>
      <c r="L113">
        <v>8505</v>
      </c>
      <c r="M113">
        <v>2329</v>
      </c>
      <c r="N113">
        <v>9706</v>
      </c>
      <c r="O113">
        <v>520</v>
      </c>
      <c r="P113">
        <v>755.4</v>
      </c>
      <c r="Q113">
        <v>1.91</v>
      </c>
      <c r="R113">
        <v>3.2942</v>
      </c>
      <c r="S113">
        <v>918.5</v>
      </c>
      <c r="T113">
        <v>81.39</v>
      </c>
      <c r="U113">
        <v>87.24</v>
      </c>
      <c r="V113">
        <v>2.5956000000000001</v>
      </c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</row>
    <row r="114" spans="1:77" x14ac:dyDescent="0.25">
      <c r="A114" s="2">
        <v>46155</v>
      </c>
      <c r="B114">
        <v>707.5</v>
      </c>
      <c r="C114">
        <v>750</v>
      </c>
      <c r="D114">
        <v>7.58</v>
      </c>
      <c r="E114">
        <v>503</v>
      </c>
      <c r="F114">
        <v>1207.75</v>
      </c>
      <c r="G114">
        <v>328.6</v>
      </c>
      <c r="H114">
        <v>70.11</v>
      </c>
      <c r="I114">
        <v>4531</v>
      </c>
      <c r="J114">
        <v>9636</v>
      </c>
      <c r="K114">
        <v>3098</v>
      </c>
      <c r="L114">
        <v>8503</v>
      </c>
      <c r="M114">
        <v>2337</v>
      </c>
      <c r="N114">
        <v>9691</v>
      </c>
      <c r="O114">
        <v>523.5</v>
      </c>
      <c r="P114">
        <v>767.9</v>
      </c>
      <c r="Q114">
        <v>1.9350000000000001</v>
      </c>
      <c r="R114">
        <v>3.3201000000000001</v>
      </c>
      <c r="S114">
        <v>941</v>
      </c>
      <c r="T114">
        <v>81.67</v>
      </c>
      <c r="U114">
        <v>87.73</v>
      </c>
      <c r="V114">
        <v>2.6272000000000002</v>
      </c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</row>
    <row r="115" spans="1:77" x14ac:dyDescent="0.25">
      <c r="A115" s="2">
        <v>46154</v>
      </c>
      <c r="B115">
        <v>710.25</v>
      </c>
      <c r="C115">
        <v>757.75</v>
      </c>
      <c r="D115">
        <v>7.6224999999999996</v>
      </c>
      <c r="E115">
        <v>502</v>
      </c>
      <c r="F115">
        <v>1205</v>
      </c>
      <c r="G115">
        <v>320.39999999999998</v>
      </c>
      <c r="H115">
        <v>70.930000000000007</v>
      </c>
      <c r="I115">
        <v>4556</v>
      </c>
      <c r="J115">
        <v>9691</v>
      </c>
      <c r="K115">
        <v>3081</v>
      </c>
      <c r="L115">
        <v>8498</v>
      </c>
      <c r="M115">
        <v>2342</v>
      </c>
      <c r="N115">
        <v>9730</v>
      </c>
      <c r="O115">
        <v>524.75</v>
      </c>
      <c r="P115">
        <v>771.8</v>
      </c>
      <c r="Q115">
        <v>1.9225000000000001</v>
      </c>
      <c r="R115">
        <v>3.4184999999999999</v>
      </c>
      <c r="S115">
        <v>947</v>
      </c>
      <c r="T115">
        <v>83.63</v>
      </c>
      <c r="U115">
        <v>89.69</v>
      </c>
      <c r="V115">
        <v>2.6709000000000001</v>
      </c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</row>
    <row r="116" spans="1:77" x14ac:dyDescent="0.25">
      <c r="A116" s="2">
        <v>46153</v>
      </c>
      <c r="B116">
        <v>670</v>
      </c>
      <c r="C116">
        <v>712.75</v>
      </c>
      <c r="D116">
        <v>7.2750000000000004</v>
      </c>
      <c r="E116">
        <v>497.75</v>
      </c>
      <c r="F116">
        <v>1194.75</v>
      </c>
      <c r="G116">
        <v>318.39999999999998</v>
      </c>
      <c r="H116">
        <v>69.540000000000006</v>
      </c>
      <c r="I116">
        <v>4568</v>
      </c>
      <c r="J116">
        <v>9777</v>
      </c>
      <c r="K116">
        <v>3069</v>
      </c>
      <c r="L116">
        <v>8491</v>
      </c>
      <c r="M116">
        <v>2343</v>
      </c>
      <c r="N116">
        <v>9764</v>
      </c>
      <c r="O116">
        <v>518</v>
      </c>
      <c r="P116">
        <v>760</v>
      </c>
      <c r="Q116">
        <v>1.8975</v>
      </c>
      <c r="R116">
        <v>3.2726000000000002</v>
      </c>
      <c r="S116">
        <v>911</v>
      </c>
      <c r="T116">
        <v>81.63</v>
      </c>
      <c r="U116">
        <v>87.7</v>
      </c>
      <c r="V116">
        <v>2.6057000000000001</v>
      </c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</row>
    <row r="117" spans="1:77" x14ac:dyDescent="0.25">
      <c r="A117" s="2">
        <v>46150</v>
      </c>
      <c r="B117">
        <v>655</v>
      </c>
      <c r="C117">
        <v>701</v>
      </c>
      <c r="D117">
        <v>7.1825000000000001</v>
      </c>
      <c r="E117">
        <v>493.5</v>
      </c>
      <c r="F117">
        <v>1189.5</v>
      </c>
      <c r="G117">
        <v>315.2</v>
      </c>
      <c r="H117">
        <v>69.569999999999993</v>
      </c>
      <c r="I117">
        <v>4539</v>
      </c>
      <c r="J117">
        <v>9755</v>
      </c>
      <c r="K117">
        <v>3033</v>
      </c>
      <c r="L117">
        <v>8471</v>
      </c>
      <c r="M117">
        <v>2320</v>
      </c>
      <c r="N117">
        <v>9770</v>
      </c>
      <c r="O117">
        <v>514.75</v>
      </c>
      <c r="P117">
        <v>765.4</v>
      </c>
      <c r="Q117">
        <v>1.89</v>
      </c>
      <c r="R117">
        <v>3.2185000000000001</v>
      </c>
      <c r="S117">
        <v>901</v>
      </c>
      <c r="T117">
        <v>79.37</v>
      </c>
      <c r="U117">
        <v>85.54</v>
      </c>
      <c r="V117">
        <v>2.5411999999999999</v>
      </c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</row>
    <row r="118" spans="1:77" x14ac:dyDescent="0.25">
      <c r="A118" s="2">
        <v>46149</v>
      </c>
      <c r="B118">
        <v>648.25</v>
      </c>
      <c r="C118">
        <v>693.25</v>
      </c>
      <c r="D118">
        <v>7.1224999999999996</v>
      </c>
      <c r="E118">
        <v>489.5</v>
      </c>
      <c r="F118">
        <v>1173.5</v>
      </c>
      <c r="G118">
        <v>313.10000000000002</v>
      </c>
      <c r="H118">
        <v>69.23</v>
      </c>
      <c r="I118">
        <v>4564</v>
      </c>
      <c r="J118">
        <v>9826</v>
      </c>
      <c r="K118">
        <v>3038</v>
      </c>
      <c r="L118">
        <v>8568</v>
      </c>
      <c r="M118">
        <v>2333</v>
      </c>
      <c r="N118">
        <v>9858</v>
      </c>
      <c r="O118">
        <v>514</v>
      </c>
      <c r="P118">
        <v>751.1</v>
      </c>
      <c r="Q118">
        <v>1.885</v>
      </c>
      <c r="R118">
        <v>3.1604999999999999</v>
      </c>
      <c r="S118">
        <v>879.25</v>
      </c>
      <c r="T118">
        <v>77.55</v>
      </c>
      <c r="U118">
        <v>83.61</v>
      </c>
      <c r="V118">
        <v>2.4906999999999999</v>
      </c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</row>
    <row r="119" spans="1:77" x14ac:dyDescent="0.25">
      <c r="A119" s="2">
        <v>46148</v>
      </c>
      <c r="B119">
        <v>654</v>
      </c>
      <c r="C119">
        <v>712.75</v>
      </c>
      <c r="D119">
        <v>7.2675000000000001</v>
      </c>
      <c r="E119">
        <v>490</v>
      </c>
      <c r="F119">
        <v>1175.5</v>
      </c>
      <c r="G119">
        <v>313.39999999999998</v>
      </c>
      <c r="H119">
        <v>69.94</v>
      </c>
      <c r="I119">
        <v>4602</v>
      </c>
      <c r="J119">
        <v>9948</v>
      </c>
      <c r="K119">
        <v>3053</v>
      </c>
      <c r="L119">
        <v>8648</v>
      </c>
      <c r="M119">
        <v>2349</v>
      </c>
      <c r="N119">
        <v>9935</v>
      </c>
      <c r="O119">
        <v>518.75</v>
      </c>
      <c r="P119">
        <v>752.8</v>
      </c>
      <c r="Q119">
        <v>1.915</v>
      </c>
      <c r="R119">
        <v>3.1726000000000001</v>
      </c>
      <c r="S119">
        <v>891.5</v>
      </c>
      <c r="T119">
        <v>77.069999999999993</v>
      </c>
      <c r="U119">
        <v>83.28</v>
      </c>
      <c r="V119">
        <v>2.4729000000000001</v>
      </c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</row>
    <row r="120" spans="1:77" x14ac:dyDescent="0.25">
      <c r="A120" s="2">
        <v>46147</v>
      </c>
      <c r="B120">
        <v>665</v>
      </c>
      <c r="C120">
        <v>715.75</v>
      </c>
      <c r="D120">
        <v>7.3</v>
      </c>
      <c r="E120">
        <v>500.5</v>
      </c>
      <c r="F120">
        <v>1189.5</v>
      </c>
      <c r="G120">
        <v>314.10000000000002</v>
      </c>
      <c r="H120">
        <v>71.59</v>
      </c>
      <c r="I120">
        <v>4713</v>
      </c>
      <c r="O120">
        <v>526.75</v>
      </c>
      <c r="P120">
        <v>768.8</v>
      </c>
      <c r="Q120">
        <v>1.9624999999999999</v>
      </c>
      <c r="R120">
        <v>3.3210999999999999</v>
      </c>
      <c r="S120">
        <v>933.5</v>
      </c>
      <c r="T120">
        <v>81.790000000000006</v>
      </c>
      <c r="U120">
        <v>88.39</v>
      </c>
      <c r="V120">
        <v>2.5912000000000002</v>
      </c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</row>
    <row r="121" spans="1:77" x14ac:dyDescent="0.25">
      <c r="A121" s="2">
        <v>46146</v>
      </c>
      <c r="B121">
        <v>677.5</v>
      </c>
      <c r="C121">
        <v>721.25</v>
      </c>
      <c r="D121">
        <v>7.335</v>
      </c>
      <c r="E121">
        <v>504.5</v>
      </c>
      <c r="F121">
        <v>1196.75</v>
      </c>
      <c r="G121">
        <v>315.10000000000002</v>
      </c>
      <c r="H121">
        <v>71.16</v>
      </c>
      <c r="I121">
        <v>4650</v>
      </c>
      <c r="O121">
        <v>528.5</v>
      </c>
      <c r="P121">
        <v>769.9</v>
      </c>
      <c r="Q121">
        <v>1.9675</v>
      </c>
      <c r="R121">
        <v>3.3342999999999998</v>
      </c>
      <c r="S121">
        <v>933.25</v>
      </c>
      <c r="T121">
        <v>83.72</v>
      </c>
      <c r="U121">
        <v>89.69</v>
      </c>
      <c r="V121">
        <v>2.621</v>
      </c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</row>
    <row r="122" spans="1:77" x14ac:dyDescent="0.25">
      <c r="A122" s="2">
        <v>46143</v>
      </c>
      <c r="B122">
        <v>673.25</v>
      </c>
      <c r="C122">
        <v>721.25</v>
      </c>
      <c r="D122">
        <v>7.375</v>
      </c>
      <c r="E122">
        <v>498.75</v>
      </c>
      <c r="F122">
        <v>1182.75</v>
      </c>
      <c r="G122">
        <v>312.60000000000002</v>
      </c>
      <c r="H122">
        <v>70.03</v>
      </c>
      <c r="P122">
        <v>764.7</v>
      </c>
      <c r="Q122">
        <v>1.95</v>
      </c>
      <c r="R122">
        <v>3.2103000000000002</v>
      </c>
      <c r="S122">
        <v>901</v>
      </c>
      <c r="T122">
        <v>79.53</v>
      </c>
      <c r="U122">
        <v>85.46</v>
      </c>
      <c r="V122">
        <v>2.5007000000000001</v>
      </c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</row>
    <row r="123" spans="1:77" x14ac:dyDescent="0.25">
      <c r="A123" s="2">
        <v>46142</v>
      </c>
      <c r="B123">
        <v>673</v>
      </c>
      <c r="C123">
        <v>720</v>
      </c>
      <c r="D123">
        <v>7.3724999999999996</v>
      </c>
      <c r="E123">
        <v>494.25</v>
      </c>
      <c r="F123">
        <v>1173</v>
      </c>
      <c r="G123">
        <v>311.5</v>
      </c>
      <c r="H123">
        <v>69.44</v>
      </c>
      <c r="I123">
        <v>4618</v>
      </c>
      <c r="J123">
        <v>9842</v>
      </c>
      <c r="K123">
        <v>3065</v>
      </c>
      <c r="L123">
        <v>8565</v>
      </c>
      <c r="M123">
        <v>2355</v>
      </c>
      <c r="N123">
        <v>9898</v>
      </c>
      <c r="O123">
        <v>522.25</v>
      </c>
      <c r="P123">
        <v>767.1</v>
      </c>
      <c r="Q123">
        <v>1.9075</v>
      </c>
      <c r="R123">
        <v>3.2597</v>
      </c>
      <c r="S123">
        <v>909.5</v>
      </c>
      <c r="T123">
        <v>80.209999999999994</v>
      </c>
      <c r="U123">
        <v>85.81</v>
      </c>
      <c r="V123">
        <v>2.5097</v>
      </c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</row>
    <row r="124" spans="1:77" x14ac:dyDescent="0.25">
      <c r="A124" s="2">
        <v>46141</v>
      </c>
      <c r="B124">
        <v>686.5</v>
      </c>
      <c r="C124">
        <v>728</v>
      </c>
      <c r="D124">
        <v>7.4474999999999998</v>
      </c>
      <c r="E124">
        <v>497.75</v>
      </c>
      <c r="F124">
        <v>1171.25</v>
      </c>
      <c r="G124">
        <v>314.7</v>
      </c>
      <c r="H124">
        <v>68.64</v>
      </c>
      <c r="I124">
        <v>4636</v>
      </c>
      <c r="J124">
        <v>9737</v>
      </c>
      <c r="K124">
        <v>3062</v>
      </c>
      <c r="L124">
        <v>8510</v>
      </c>
      <c r="M124">
        <v>2349</v>
      </c>
      <c r="N124">
        <v>9802</v>
      </c>
      <c r="O124">
        <v>523.25</v>
      </c>
      <c r="P124">
        <v>765</v>
      </c>
      <c r="Q124">
        <v>1.9275</v>
      </c>
      <c r="R124">
        <v>3.2536</v>
      </c>
      <c r="S124">
        <v>919.5</v>
      </c>
      <c r="T124">
        <v>79.489999999999995</v>
      </c>
      <c r="U124">
        <v>85.12</v>
      </c>
      <c r="V124">
        <v>2.4962</v>
      </c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</row>
    <row r="125" spans="1:77" x14ac:dyDescent="0.25">
      <c r="A125" s="2">
        <v>46140</v>
      </c>
      <c r="B125">
        <v>689</v>
      </c>
      <c r="C125">
        <v>726.25</v>
      </c>
      <c r="D125">
        <v>7.42</v>
      </c>
      <c r="E125">
        <v>495.75</v>
      </c>
      <c r="F125">
        <v>1167</v>
      </c>
      <c r="G125">
        <v>315.2</v>
      </c>
      <c r="H125">
        <v>66.930000000000007</v>
      </c>
      <c r="I125">
        <v>4576</v>
      </c>
      <c r="J125">
        <v>9778</v>
      </c>
      <c r="K125">
        <v>3041</v>
      </c>
      <c r="L125">
        <v>8489</v>
      </c>
      <c r="M125">
        <v>2336</v>
      </c>
      <c r="N125">
        <v>9713</v>
      </c>
      <c r="O125">
        <v>514</v>
      </c>
      <c r="P125">
        <v>750.4</v>
      </c>
      <c r="Q125">
        <v>1.875</v>
      </c>
      <c r="R125">
        <v>3.1549999999999998</v>
      </c>
      <c r="S125">
        <v>889</v>
      </c>
      <c r="T125">
        <v>78.680000000000007</v>
      </c>
      <c r="U125">
        <v>84.64</v>
      </c>
      <c r="V125">
        <v>2.4622000000000002</v>
      </c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</row>
    <row r="126" spans="1:77" x14ac:dyDescent="0.25">
      <c r="A126" s="2">
        <v>46139</v>
      </c>
      <c r="B126">
        <v>661.25</v>
      </c>
      <c r="C126">
        <v>701</v>
      </c>
      <c r="D126">
        <v>7.2374999999999998</v>
      </c>
      <c r="E126">
        <v>489.5</v>
      </c>
      <c r="F126">
        <v>1165.75</v>
      </c>
      <c r="G126">
        <v>313.89999999999998</v>
      </c>
      <c r="H126">
        <v>66.290000000000006</v>
      </c>
      <c r="I126">
        <v>4575</v>
      </c>
      <c r="J126">
        <v>9815</v>
      </c>
      <c r="K126">
        <v>3024</v>
      </c>
      <c r="L126">
        <v>8473</v>
      </c>
      <c r="M126">
        <v>2323</v>
      </c>
      <c r="N126">
        <v>9703</v>
      </c>
      <c r="O126">
        <v>510.75</v>
      </c>
      <c r="P126">
        <v>744</v>
      </c>
      <c r="Q126">
        <v>1.895</v>
      </c>
      <c r="R126">
        <v>3.1515</v>
      </c>
      <c r="S126">
        <v>895.5</v>
      </c>
      <c r="T126">
        <v>78.260000000000005</v>
      </c>
      <c r="U126">
        <v>84.54</v>
      </c>
      <c r="V126">
        <v>2.4462000000000002</v>
      </c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</row>
    <row r="127" spans="1:77" x14ac:dyDescent="0.25">
      <c r="A127" s="2">
        <v>46136</v>
      </c>
      <c r="B127">
        <v>649.5</v>
      </c>
      <c r="C127">
        <v>695</v>
      </c>
      <c r="D127">
        <v>7.2225000000000001</v>
      </c>
      <c r="E127">
        <v>484.25</v>
      </c>
      <c r="F127">
        <v>1155.75</v>
      </c>
      <c r="G127">
        <v>309.3</v>
      </c>
      <c r="H127">
        <v>65.930000000000007</v>
      </c>
      <c r="I127">
        <v>4608</v>
      </c>
      <c r="J127">
        <v>9766</v>
      </c>
      <c r="K127">
        <v>3029</v>
      </c>
      <c r="L127">
        <v>8520</v>
      </c>
      <c r="M127">
        <v>2328</v>
      </c>
      <c r="N127">
        <v>9687</v>
      </c>
      <c r="O127">
        <v>505.25</v>
      </c>
      <c r="P127">
        <v>744</v>
      </c>
      <c r="Q127">
        <v>1.865</v>
      </c>
      <c r="R127">
        <v>3.0811999999999999</v>
      </c>
      <c r="S127">
        <v>879.75</v>
      </c>
      <c r="T127">
        <v>77.48</v>
      </c>
      <c r="U127">
        <v>83.35</v>
      </c>
      <c r="V127">
        <v>2.415</v>
      </c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</row>
    <row r="128" spans="1:77" x14ac:dyDescent="0.25">
      <c r="A128" s="2">
        <v>46135</v>
      </c>
      <c r="B128">
        <v>651.75</v>
      </c>
      <c r="C128">
        <v>704.5</v>
      </c>
      <c r="D128">
        <v>7.1875</v>
      </c>
      <c r="E128">
        <v>483.5</v>
      </c>
      <c r="F128">
        <v>1155</v>
      </c>
      <c r="G128">
        <v>309.3</v>
      </c>
      <c r="H128">
        <v>65.66</v>
      </c>
      <c r="I128">
        <v>4569</v>
      </c>
      <c r="J128">
        <v>9743</v>
      </c>
      <c r="K128">
        <v>3045</v>
      </c>
      <c r="L128">
        <v>8549</v>
      </c>
      <c r="M128">
        <v>2345</v>
      </c>
      <c r="N128">
        <v>9644</v>
      </c>
      <c r="O128">
        <v>510</v>
      </c>
      <c r="P128">
        <v>742.4</v>
      </c>
      <c r="Q128">
        <v>1.845</v>
      </c>
      <c r="R128">
        <v>3.1017999999999999</v>
      </c>
      <c r="S128">
        <v>866.75</v>
      </c>
      <c r="T128">
        <v>77.849999999999994</v>
      </c>
      <c r="U128">
        <v>83.61</v>
      </c>
      <c r="V128">
        <v>2.4257</v>
      </c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</row>
    <row r="129" spans="1:77" x14ac:dyDescent="0.25">
      <c r="A129" s="2">
        <v>46134</v>
      </c>
      <c r="B129">
        <v>638.75</v>
      </c>
      <c r="C129">
        <v>678.25</v>
      </c>
      <c r="D129">
        <v>7.0949999999999998</v>
      </c>
      <c r="E129">
        <v>482.25</v>
      </c>
      <c r="F129">
        <v>1156</v>
      </c>
      <c r="G129">
        <v>310</v>
      </c>
      <c r="H129">
        <v>65.33</v>
      </c>
      <c r="I129">
        <v>4604</v>
      </c>
      <c r="J129">
        <v>9703</v>
      </c>
      <c r="K129">
        <v>3053</v>
      </c>
      <c r="L129">
        <v>8546</v>
      </c>
      <c r="M129">
        <v>2348</v>
      </c>
      <c r="N129">
        <v>9623</v>
      </c>
      <c r="O129">
        <v>504.5</v>
      </c>
      <c r="P129">
        <v>736.9</v>
      </c>
      <c r="Q129">
        <v>1.8425</v>
      </c>
      <c r="R129">
        <v>3.0636999999999999</v>
      </c>
      <c r="S129">
        <v>860</v>
      </c>
      <c r="T129">
        <v>76.459999999999994</v>
      </c>
      <c r="U129">
        <v>81.98</v>
      </c>
      <c r="V129">
        <v>2.3759999999999999</v>
      </c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</row>
    <row r="130" spans="1:77" x14ac:dyDescent="0.25">
      <c r="A130" s="2">
        <v>46133</v>
      </c>
      <c r="B130">
        <v>644.5</v>
      </c>
      <c r="C130">
        <v>683.5</v>
      </c>
      <c r="D130">
        <v>7.1050000000000004</v>
      </c>
      <c r="E130">
        <v>481.75</v>
      </c>
      <c r="F130">
        <v>1166.5</v>
      </c>
      <c r="G130">
        <v>313</v>
      </c>
      <c r="H130">
        <v>65.61</v>
      </c>
      <c r="I130">
        <v>4520</v>
      </c>
      <c r="J130">
        <v>9545</v>
      </c>
      <c r="K130">
        <v>3014</v>
      </c>
      <c r="L130">
        <v>8439</v>
      </c>
      <c r="M130">
        <v>2317</v>
      </c>
      <c r="N130">
        <v>9535</v>
      </c>
      <c r="O130">
        <v>503.75</v>
      </c>
      <c r="P130">
        <v>737</v>
      </c>
      <c r="Q130">
        <v>1.83</v>
      </c>
      <c r="R130">
        <v>2.9893000000000001</v>
      </c>
      <c r="S130">
        <v>845.75</v>
      </c>
      <c r="T130">
        <v>75.38</v>
      </c>
      <c r="U130">
        <v>80.75</v>
      </c>
      <c r="V130">
        <v>2.3330000000000002</v>
      </c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</row>
    <row r="131" spans="1:77" x14ac:dyDescent="0.25">
      <c r="A131" s="2">
        <v>46132</v>
      </c>
      <c r="B131">
        <v>637.5</v>
      </c>
      <c r="C131">
        <v>674.25</v>
      </c>
      <c r="D131">
        <v>7.01</v>
      </c>
      <c r="E131">
        <v>479.5</v>
      </c>
      <c r="F131">
        <v>1157.75</v>
      </c>
      <c r="G131">
        <v>315</v>
      </c>
      <c r="H131">
        <v>63.83</v>
      </c>
      <c r="I131">
        <v>4442</v>
      </c>
      <c r="J131">
        <v>9332</v>
      </c>
      <c r="K131">
        <v>3003</v>
      </c>
      <c r="L131">
        <v>8362</v>
      </c>
      <c r="M131">
        <v>2301</v>
      </c>
      <c r="N131">
        <v>9417</v>
      </c>
      <c r="O131">
        <v>496</v>
      </c>
      <c r="P131">
        <v>730.8</v>
      </c>
      <c r="Q131">
        <v>1.8325</v>
      </c>
      <c r="R131">
        <v>2.9348000000000001</v>
      </c>
      <c r="S131">
        <v>830.75</v>
      </c>
      <c r="T131">
        <v>74.58</v>
      </c>
      <c r="U131">
        <v>79.77</v>
      </c>
      <c r="V131">
        <v>2.29</v>
      </c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</row>
    <row r="132" spans="1:77" x14ac:dyDescent="0.25">
      <c r="A132" s="2">
        <v>46129</v>
      </c>
      <c r="B132">
        <v>630.25</v>
      </c>
      <c r="C132">
        <v>676.25</v>
      </c>
      <c r="D132">
        <v>7.0049999999999999</v>
      </c>
      <c r="E132">
        <v>477</v>
      </c>
      <c r="F132">
        <v>1156.5</v>
      </c>
      <c r="G132">
        <v>317.39999999999998</v>
      </c>
      <c r="H132">
        <v>62.61</v>
      </c>
      <c r="I132">
        <v>4401</v>
      </c>
      <c r="J132">
        <v>9326</v>
      </c>
      <c r="K132">
        <v>3013</v>
      </c>
      <c r="L132">
        <v>8389</v>
      </c>
      <c r="M132">
        <v>2309</v>
      </c>
      <c r="N132">
        <v>9420</v>
      </c>
      <c r="O132">
        <v>491.75</v>
      </c>
      <c r="P132">
        <v>718.6</v>
      </c>
      <c r="Q132">
        <v>1.8225</v>
      </c>
      <c r="R132">
        <v>2.8546999999999998</v>
      </c>
      <c r="S132">
        <v>800.5</v>
      </c>
      <c r="T132">
        <v>72.650000000000006</v>
      </c>
      <c r="U132">
        <v>77.59</v>
      </c>
      <c r="V132">
        <v>2.2387000000000001</v>
      </c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</row>
    <row r="133" spans="1:77" x14ac:dyDescent="0.25">
      <c r="A133" s="2">
        <v>46128</v>
      </c>
      <c r="B133">
        <v>636</v>
      </c>
      <c r="C133">
        <v>680.5</v>
      </c>
      <c r="D133">
        <v>6.9749999999999996</v>
      </c>
      <c r="E133">
        <v>476.75</v>
      </c>
      <c r="F133">
        <v>1156</v>
      </c>
      <c r="G133">
        <v>317.2</v>
      </c>
      <c r="H133">
        <v>63.59</v>
      </c>
      <c r="I133">
        <v>4431</v>
      </c>
      <c r="J133">
        <v>9261</v>
      </c>
      <c r="K133">
        <v>3027</v>
      </c>
      <c r="L133">
        <v>8358</v>
      </c>
      <c r="M133">
        <v>2317</v>
      </c>
      <c r="N133">
        <v>9378</v>
      </c>
      <c r="O133">
        <v>504.25</v>
      </c>
      <c r="P133">
        <v>729.8</v>
      </c>
      <c r="Q133">
        <v>1.8174999999999999</v>
      </c>
      <c r="R133">
        <v>3.0436999999999999</v>
      </c>
      <c r="S133">
        <v>856.5</v>
      </c>
      <c r="T133">
        <v>76.59</v>
      </c>
      <c r="U133">
        <v>81.72</v>
      </c>
      <c r="V133">
        <v>2.3513999999999999</v>
      </c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</row>
    <row r="134" spans="1:77" x14ac:dyDescent="0.25">
      <c r="A134" s="2">
        <v>46127</v>
      </c>
      <c r="B134">
        <v>632</v>
      </c>
      <c r="C134">
        <v>669.5</v>
      </c>
      <c r="D134">
        <v>6.8525</v>
      </c>
      <c r="E134">
        <v>478</v>
      </c>
      <c r="F134">
        <v>1154.5</v>
      </c>
      <c r="G134">
        <v>321</v>
      </c>
      <c r="H134">
        <v>62.54</v>
      </c>
      <c r="I134">
        <v>4429</v>
      </c>
      <c r="J134">
        <v>9249</v>
      </c>
      <c r="K134">
        <v>3017</v>
      </c>
      <c r="L134">
        <v>8336</v>
      </c>
      <c r="M134">
        <v>2315</v>
      </c>
      <c r="N134">
        <v>9367</v>
      </c>
      <c r="O134">
        <v>498.25</v>
      </c>
      <c r="P134">
        <v>726.6</v>
      </c>
      <c r="Q134">
        <v>1.82</v>
      </c>
      <c r="R134">
        <v>3.0085000000000002</v>
      </c>
      <c r="S134">
        <v>844.75</v>
      </c>
      <c r="T134">
        <v>76.400000000000006</v>
      </c>
      <c r="U134">
        <v>81.28</v>
      </c>
      <c r="V134">
        <v>2.3342999999999998</v>
      </c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</row>
    <row r="135" spans="1:77" x14ac:dyDescent="0.25">
      <c r="A135" s="2">
        <v>46126</v>
      </c>
      <c r="B135">
        <v>630.5</v>
      </c>
      <c r="C135">
        <v>666.75</v>
      </c>
      <c r="D135">
        <v>6.83</v>
      </c>
      <c r="E135">
        <v>470.5</v>
      </c>
      <c r="F135">
        <v>1144</v>
      </c>
      <c r="G135">
        <v>318.3</v>
      </c>
      <c r="H135">
        <v>62.11</v>
      </c>
      <c r="I135">
        <v>4433</v>
      </c>
      <c r="J135">
        <v>9315</v>
      </c>
      <c r="K135">
        <v>3026</v>
      </c>
      <c r="L135">
        <v>8386</v>
      </c>
      <c r="M135">
        <v>2322</v>
      </c>
      <c r="N135">
        <v>9381</v>
      </c>
      <c r="O135">
        <v>496</v>
      </c>
      <c r="P135">
        <v>724.5</v>
      </c>
      <c r="Q135">
        <v>1.8274999999999999</v>
      </c>
      <c r="R135">
        <v>2.9964</v>
      </c>
      <c r="S135">
        <v>845.5</v>
      </c>
      <c r="T135">
        <v>75.739999999999995</v>
      </c>
      <c r="U135">
        <v>80.459999999999994</v>
      </c>
      <c r="V135">
        <v>2.3144999999999998</v>
      </c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</row>
    <row r="136" spans="1:77" x14ac:dyDescent="0.25">
      <c r="A136" s="2">
        <v>46125</v>
      </c>
      <c r="B136">
        <v>621</v>
      </c>
      <c r="C136">
        <v>647.25</v>
      </c>
      <c r="D136">
        <v>6.71</v>
      </c>
      <c r="E136">
        <v>471</v>
      </c>
      <c r="F136">
        <v>1149.75</v>
      </c>
      <c r="G136">
        <v>319.5</v>
      </c>
      <c r="H136">
        <v>62.52</v>
      </c>
      <c r="I136">
        <v>4503</v>
      </c>
      <c r="J136">
        <v>9408</v>
      </c>
      <c r="K136">
        <v>3031</v>
      </c>
      <c r="L136">
        <v>8425</v>
      </c>
      <c r="M136">
        <v>2326</v>
      </c>
      <c r="N136">
        <v>9420</v>
      </c>
      <c r="O136">
        <v>500</v>
      </c>
      <c r="P136">
        <v>725.4</v>
      </c>
      <c r="Q136">
        <v>1.8325</v>
      </c>
      <c r="R136">
        <v>3.0592999999999999</v>
      </c>
      <c r="S136">
        <v>878.25</v>
      </c>
      <c r="T136">
        <v>77.34</v>
      </c>
      <c r="U136">
        <v>82.08</v>
      </c>
      <c r="V136">
        <v>2.3515000000000001</v>
      </c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</row>
    <row r="137" spans="1:77" x14ac:dyDescent="0.25">
      <c r="A137" s="2">
        <v>46122</v>
      </c>
      <c r="B137">
        <v>611.5</v>
      </c>
      <c r="C137">
        <v>637.75</v>
      </c>
      <c r="D137">
        <v>6.6</v>
      </c>
      <c r="E137">
        <v>472.25</v>
      </c>
      <c r="F137">
        <v>1157.75</v>
      </c>
      <c r="G137">
        <v>320.7</v>
      </c>
      <c r="H137">
        <v>63.25</v>
      </c>
      <c r="I137">
        <v>4465</v>
      </c>
      <c r="J137">
        <v>9478</v>
      </c>
      <c r="K137">
        <v>3031</v>
      </c>
      <c r="L137">
        <v>8449</v>
      </c>
      <c r="M137">
        <v>2329</v>
      </c>
      <c r="N137">
        <v>9456</v>
      </c>
      <c r="O137">
        <v>497.25</v>
      </c>
      <c r="P137">
        <v>726</v>
      </c>
      <c r="Q137">
        <v>1.83</v>
      </c>
      <c r="R137">
        <v>3.0095000000000001</v>
      </c>
      <c r="S137">
        <v>852.75</v>
      </c>
      <c r="T137">
        <v>75.25</v>
      </c>
      <c r="U137">
        <v>80.099999999999994</v>
      </c>
      <c r="V137">
        <v>2.2951000000000001</v>
      </c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</row>
    <row r="138" spans="1:77" x14ac:dyDescent="0.25">
      <c r="A138" s="2">
        <v>46121</v>
      </c>
      <c r="B138">
        <v>615.75</v>
      </c>
      <c r="C138">
        <v>639.5</v>
      </c>
      <c r="D138">
        <v>6.6574999999999998</v>
      </c>
      <c r="E138">
        <v>474.25</v>
      </c>
      <c r="F138">
        <v>1152.5</v>
      </c>
      <c r="G138">
        <v>312.10000000000002</v>
      </c>
      <c r="H138">
        <v>63.78</v>
      </c>
      <c r="I138">
        <v>4559</v>
      </c>
      <c r="J138">
        <v>9396</v>
      </c>
      <c r="K138">
        <v>3023</v>
      </c>
      <c r="L138">
        <v>8404</v>
      </c>
      <c r="M138">
        <v>2318</v>
      </c>
      <c r="N138">
        <v>9403</v>
      </c>
      <c r="O138">
        <v>495.25</v>
      </c>
      <c r="P138">
        <v>727.1</v>
      </c>
      <c r="Q138">
        <v>1.825</v>
      </c>
      <c r="R138">
        <v>3.0034000000000001</v>
      </c>
      <c r="S138">
        <v>859.25</v>
      </c>
      <c r="T138">
        <v>74.39</v>
      </c>
      <c r="U138">
        <v>79.239999999999995</v>
      </c>
      <c r="V138">
        <v>2.2610999999999999</v>
      </c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</row>
    <row r="139" spans="1:77" x14ac:dyDescent="0.25">
      <c r="A139" s="2">
        <v>46120</v>
      </c>
      <c r="B139">
        <v>623</v>
      </c>
      <c r="C139">
        <v>646.25</v>
      </c>
      <c r="D139">
        <v>6.7074999999999996</v>
      </c>
      <c r="E139">
        <v>476</v>
      </c>
      <c r="F139">
        <v>1152</v>
      </c>
      <c r="G139">
        <v>310.5</v>
      </c>
      <c r="H139">
        <v>63.4</v>
      </c>
      <c r="I139">
        <v>4483</v>
      </c>
      <c r="J139">
        <v>9414</v>
      </c>
      <c r="K139">
        <v>3014</v>
      </c>
      <c r="L139">
        <v>8476</v>
      </c>
      <c r="M139">
        <v>2306</v>
      </c>
      <c r="N139">
        <v>9501</v>
      </c>
      <c r="O139">
        <v>495.75</v>
      </c>
      <c r="P139">
        <v>721.5</v>
      </c>
      <c r="Q139">
        <v>1.8274999999999999</v>
      </c>
      <c r="R139">
        <v>2.9645000000000001</v>
      </c>
      <c r="S139">
        <v>832.75</v>
      </c>
      <c r="T139">
        <v>74.22</v>
      </c>
      <c r="U139">
        <v>79.25</v>
      </c>
      <c r="V139">
        <v>2.2610000000000001</v>
      </c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</row>
    <row r="140" spans="1:77" x14ac:dyDescent="0.25">
      <c r="A140" s="2">
        <v>46119</v>
      </c>
      <c r="B140">
        <v>638.75</v>
      </c>
      <c r="C140">
        <v>656.5</v>
      </c>
      <c r="D140">
        <v>6.8574999999999999</v>
      </c>
      <c r="E140">
        <v>478</v>
      </c>
      <c r="F140">
        <v>1151</v>
      </c>
      <c r="G140">
        <v>307.10000000000002</v>
      </c>
      <c r="H140">
        <v>65.37</v>
      </c>
      <c r="I140">
        <v>4638</v>
      </c>
      <c r="J140">
        <v>9770</v>
      </c>
      <c r="K140">
        <v>3006</v>
      </c>
      <c r="L140">
        <v>8676</v>
      </c>
      <c r="M140">
        <v>2301</v>
      </c>
      <c r="N140">
        <v>9671</v>
      </c>
      <c r="O140">
        <v>504</v>
      </c>
      <c r="P140">
        <v>734.2</v>
      </c>
      <c r="Q140">
        <v>1.85</v>
      </c>
      <c r="R140">
        <v>3.0493000000000001</v>
      </c>
      <c r="S140">
        <v>883.5</v>
      </c>
      <c r="T140">
        <v>75.180000000000007</v>
      </c>
      <c r="U140">
        <v>80.61</v>
      </c>
      <c r="V140">
        <v>2.2959999999999998</v>
      </c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</row>
    <row r="141" spans="1:77" x14ac:dyDescent="0.25">
      <c r="A141" s="2">
        <v>46118</v>
      </c>
      <c r="B141">
        <v>637.5</v>
      </c>
      <c r="C141">
        <v>657.25</v>
      </c>
      <c r="D141">
        <v>6.8849999999999998</v>
      </c>
      <c r="E141">
        <v>483</v>
      </c>
      <c r="F141">
        <v>1157</v>
      </c>
      <c r="G141">
        <v>309</v>
      </c>
      <c r="H141">
        <v>65.61</v>
      </c>
      <c r="I141">
        <v>4674</v>
      </c>
      <c r="P141">
        <v>738.9</v>
      </c>
      <c r="Q141">
        <v>1.86</v>
      </c>
      <c r="R141">
        <v>2.9950000000000001</v>
      </c>
      <c r="S141">
        <v>858.75</v>
      </c>
      <c r="T141">
        <v>73.86</v>
      </c>
      <c r="U141">
        <v>79.3</v>
      </c>
      <c r="V141">
        <v>2.2654000000000001</v>
      </c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</row>
    <row r="142" spans="1:77" x14ac:dyDescent="0.25">
      <c r="A142" s="2">
        <v>46115</v>
      </c>
      <c r="B142">
        <v>639</v>
      </c>
      <c r="C142">
        <v>661.75</v>
      </c>
      <c r="E142">
        <v>481.25</v>
      </c>
      <c r="F142">
        <v>1154</v>
      </c>
      <c r="G142">
        <v>309.10000000000002</v>
      </c>
      <c r="H142">
        <v>65.150000000000006</v>
      </c>
      <c r="I142">
        <v>4687</v>
      </c>
      <c r="J142">
        <v>9744</v>
      </c>
      <c r="K142">
        <v>3016</v>
      </c>
      <c r="L142">
        <v>8624</v>
      </c>
      <c r="M142">
        <v>2310</v>
      </c>
      <c r="N142">
        <v>9679</v>
      </c>
      <c r="Q142">
        <v>1.8425</v>
      </c>
      <c r="R142">
        <v>2.9146999999999998</v>
      </c>
      <c r="T142">
        <v>72.11</v>
      </c>
      <c r="V142">
        <v>2.2258</v>
      </c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</row>
    <row r="143" spans="1:77" x14ac:dyDescent="0.25">
      <c r="A143" s="2">
        <v>46114</v>
      </c>
      <c r="B143">
        <v>639</v>
      </c>
      <c r="C143">
        <v>661.75</v>
      </c>
      <c r="D143">
        <v>6.9074999999999998</v>
      </c>
      <c r="E143">
        <v>481.25</v>
      </c>
      <c r="F143">
        <v>1154</v>
      </c>
      <c r="G143">
        <v>309.10000000000002</v>
      </c>
      <c r="H143">
        <v>65.150000000000006</v>
      </c>
      <c r="I143">
        <v>4642</v>
      </c>
      <c r="J143">
        <v>9634</v>
      </c>
      <c r="K143">
        <v>3013</v>
      </c>
      <c r="L143">
        <v>8578</v>
      </c>
      <c r="M143">
        <v>2323</v>
      </c>
      <c r="N143">
        <v>9669</v>
      </c>
      <c r="O143">
        <v>503.5</v>
      </c>
      <c r="P143">
        <v>739.8</v>
      </c>
      <c r="Q143">
        <v>1.8425</v>
      </c>
      <c r="R143">
        <v>2.9146999999999998</v>
      </c>
      <c r="S143">
        <v>827</v>
      </c>
      <c r="T143">
        <v>72.11</v>
      </c>
      <c r="U143">
        <v>77.790000000000006</v>
      </c>
      <c r="V143">
        <v>2.2258</v>
      </c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</row>
    <row r="144" spans="1:77" x14ac:dyDescent="0.25">
      <c r="A144" s="2">
        <v>46113</v>
      </c>
      <c r="B144">
        <v>638.5</v>
      </c>
      <c r="C144">
        <v>659.25</v>
      </c>
      <c r="D144">
        <v>6.8674999999999997</v>
      </c>
      <c r="E144">
        <v>481.25</v>
      </c>
      <c r="F144">
        <v>1155.5</v>
      </c>
      <c r="G144">
        <v>313.3</v>
      </c>
      <c r="H144">
        <v>64.03</v>
      </c>
      <c r="I144">
        <v>4616</v>
      </c>
      <c r="J144">
        <v>9762</v>
      </c>
      <c r="K144">
        <v>3021</v>
      </c>
      <c r="L144">
        <v>8618</v>
      </c>
      <c r="M144">
        <v>2334</v>
      </c>
      <c r="N144">
        <v>9723</v>
      </c>
      <c r="O144">
        <v>499</v>
      </c>
      <c r="P144">
        <v>731.4</v>
      </c>
      <c r="Q144">
        <v>1.83</v>
      </c>
      <c r="R144">
        <v>2.8755000000000002</v>
      </c>
      <c r="S144">
        <v>815</v>
      </c>
      <c r="T144">
        <v>71.39</v>
      </c>
      <c r="U144">
        <v>77.010000000000005</v>
      </c>
      <c r="V144">
        <v>2.1974999999999998</v>
      </c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</row>
    <row r="145" spans="1:77" x14ac:dyDescent="0.25">
      <c r="A145" s="2">
        <v>46112</v>
      </c>
      <c r="B145">
        <v>654.5</v>
      </c>
      <c r="C145">
        <v>678</v>
      </c>
      <c r="D145">
        <v>6.9924999999999997</v>
      </c>
      <c r="E145">
        <v>484.25</v>
      </c>
      <c r="F145">
        <v>1157.5</v>
      </c>
      <c r="G145">
        <v>311.5</v>
      </c>
      <c r="H145">
        <v>65.3</v>
      </c>
      <c r="I145">
        <v>4702</v>
      </c>
      <c r="J145">
        <v>9676</v>
      </c>
      <c r="K145">
        <v>3028</v>
      </c>
      <c r="L145">
        <v>8606</v>
      </c>
      <c r="M145">
        <v>2349</v>
      </c>
      <c r="N145">
        <v>9733</v>
      </c>
      <c r="O145">
        <v>507.5</v>
      </c>
      <c r="P145">
        <v>742.2</v>
      </c>
      <c r="Q145">
        <v>1.855</v>
      </c>
      <c r="R145">
        <v>2.8963999999999999</v>
      </c>
      <c r="S145">
        <v>849</v>
      </c>
      <c r="T145">
        <v>72.47</v>
      </c>
      <c r="U145">
        <v>78.430000000000007</v>
      </c>
      <c r="V145">
        <v>2.2258</v>
      </c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</row>
    <row r="146" spans="1:77" x14ac:dyDescent="0.25">
      <c r="A146" s="2">
        <v>46111</v>
      </c>
      <c r="B146">
        <v>648</v>
      </c>
      <c r="C146">
        <v>672</v>
      </c>
      <c r="D146">
        <v>6.92</v>
      </c>
      <c r="E146">
        <v>484</v>
      </c>
      <c r="F146">
        <v>1144</v>
      </c>
      <c r="G146">
        <v>309.10000000000002</v>
      </c>
      <c r="H146">
        <v>64.94</v>
      </c>
      <c r="I146">
        <v>4648</v>
      </c>
      <c r="J146">
        <v>9580</v>
      </c>
      <c r="K146">
        <v>3046</v>
      </c>
      <c r="L146">
        <v>8558</v>
      </c>
      <c r="M146">
        <v>2369</v>
      </c>
      <c r="N146">
        <v>9690</v>
      </c>
      <c r="O146">
        <v>501.75</v>
      </c>
      <c r="P146">
        <v>740.1</v>
      </c>
      <c r="Q146">
        <v>1.865</v>
      </c>
      <c r="R146">
        <v>3.0059</v>
      </c>
      <c r="S146">
        <v>870.75</v>
      </c>
      <c r="T146">
        <v>76.84</v>
      </c>
      <c r="U146">
        <v>82.67</v>
      </c>
      <c r="V146">
        <v>2.3214000000000001</v>
      </c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</row>
    <row r="147" spans="1:77" x14ac:dyDescent="0.25">
      <c r="A147" s="2">
        <v>46108</v>
      </c>
      <c r="B147">
        <v>646</v>
      </c>
      <c r="C147">
        <v>678.5</v>
      </c>
      <c r="D147">
        <v>6.8975</v>
      </c>
      <c r="E147">
        <v>490.25</v>
      </c>
      <c r="F147">
        <v>1144</v>
      </c>
      <c r="G147">
        <v>309</v>
      </c>
      <c r="H147">
        <v>64.209999999999994</v>
      </c>
      <c r="I147">
        <v>4516</v>
      </c>
      <c r="J147">
        <v>9512</v>
      </c>
      <c r="K147">
        <v>3053</v>
      </c>
      <c r="L147">
        <v>8552</v>
      </c>
      <c r="M147">
        <v>2373</v>
      </c>
      <c r="N147">
        <v>9688</v>
      </c>
      <c r="O147">
        <v>495.75</v>
      </c>
      <c r="P147">
        <v>734.5</v>
      </c>
      <c r="Q147">
        <v>1.88</v>
      </c>
      <c r="R147">
        <v>3.0284</v>
      </c>
      <c r="S147">
        <v>866.75</v>
      </c>
      <c r="T147">
        <v>77.36</v>
      </c>
      <c r="U147">
        <v>83.12</v>
      </c>
      <c r="V147">
        <v>2.3207</v>
      </c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</row>
    <row r="148" spans="1:77" x14ac:dyDescent="0.25">
      <c r="A148" s="2">
        <v>46107</v>
      </c>
      <c r="B148">
        <v>646</v>
      </c>
      <c r="C148">
        <v>673.25</v>
      </c>
      <c r="D148">
        <v>6.875</v>
      </c>
      <c r="E148">
        <v>494.5</v>
      </c>
      <c r="F148">
        <v>1152.75</v>
      </c>
      <c r="G148">
        <v>313.3</v>
      </c>
      <c r="H148">
        <v>64.47</v>
      </c>
      <c r="I148">
        <v>4485</v>
      </c>
      <c r="J148">
        <v>9440</v>
      </c>
      <c r="K148">
        <v>3061</v>
      </c>
      <c r="L148">
        <v>8502</v>
      </c>
      <c r="M148">
        <v>2378</v>
      </c>
      <c r="N148">
        <v>9627</v>
      </c>
      <c r="O148">
        <v>496</v>
      </c>
      <c r="P148">
        <v>742.9</v>
      </c>
      <c r="Q148">
        <v>1.8474999999999999</v>
      </c>
      <c r="R148">
        <v>3.0219</v>
      </c>
      <c r="S148">
        <v>858.75</v>
      </c>
      <c r="T148">
        <v>77.650000000000006</v>
      </c>
      <c r="U148">
        <v>83.14</v>
      </c>
      <c r="V148">
        <v>2.3218999999999999</v>
      </c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</row>
    <row r="149" spans="1:77" x14ac:dyDescent="0.25">
      <c r="A149" s="2">
        <v>46106</v>
      </c>
      <c r="B149">
        <v>640</v>
      </c>
      <c r="C149">
        <v>666.25</v>
      </c>
      <c r="D149">
        <v>6.8250000000000002</v>
      </c>
      <c r="E149">
        <v>493.25</v>
      </c>
      <c r="F149">
        <v>1150</v>
      </c>
      <c r="G149">
        <v>312.10000000000002</v>
      </c>
      <c r="H149">
        <v>63.86</v>
      </c>
      <c r="I149">
        <v>4410</v>
      </c>
      <c r="J149">
        <v>9392</v>
      </c>
      <c r="K149">
        <v>3052</v>
      </c>
      <c r="L149">
        <v>8462</v>
      </c>
      <c r="M149">
        <v>2378</v>
      </c>
      <c r="N149">
        <v>9632</v>
      </c>
      <c r="O149">
        <v>494</v>
      </c>
      <c r="P149">
        <v>739.5</v>
      </c>
      <c r="Q149">
        <v>1.8374999999999999</v>
      </c>
      <c r="R149">
        <v>2.9171999999999998</v>
      </c>
      <c r="S149">
        <v>819</v>
      </c>
      <c r="T149">
        <v>76</v>
      </c>
      <c r="U149">
        <v>81.209999999999994</v>
      </c>
      <c r="V149">
        <v>2.2692000000000001</v>
      </c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</row>
    <row r="150" spans="1:77" x14ac:dyDescent="0.25">
      <c r="A150" s="2">
        <v>46105</v>
      </c>
      <c r="B150">
        <v>633.75</v>
      </c>
      <c r="C150">
        <v>653.75</v>
      </c>
      <c r="D150">
        <v>6.7525000000000004</v>
      </c>
      <c r="E150">
        <v>489</v>
      </c>
      <c r="F150">
        <v>1143.75</v>
      </c>
      <c r="G150">
        <v>313.10000000000002</v>
      </c>
      <c r="H150">
        <v>62.87</v>
      </c>
      <c r="I150">
        <v>4405</v>
      </c>
      <c r="J150">
        <v>9510</v>
      </c>
      <c r="K150">
        <v>3069</v>
      </c>
      <c r="L150">
        <v>8518</v>
      </c>
      <c r="M150">
        <v>2392</v>
      </c>
      <c r="N150">
        <v>9608</v>
      </c>
      <c r="O150">
        <v>492.5</v>
      </c>
      <c r="P150">
        <v>734.8</v>
      </c>
      <c r="Q150">
        <v>1.835</v>
      </c>
      <c r="R150">
        <v>2.9489999999999998</v>
      </c>
      <c r="S150">
        <v>842.5</v>
      </c>
      <c r="T150">
        <v>76.760000000000005</v>
      </c>
      <c r="U150">
        <v>82.46</v>
      </c>
      <c r="V150">
        <v>2.3069000000000002</v>
      </c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</row>
    <row r="151" spans="1:77" x14ac:dyDescent="0.25">
      <c r="A151" s="2">
        <v>46104</v>
      </c>
      <c r="B151">
        <v>631.5</v>
      </c>
      <c r="C151">
        <v>652</v>
      </c>
      <c r="D151">
        <v>6.72</v>
      </c>
      <c r="E151">
        <v>486.5</v>
      </c>
      <c r="F151">
        <v>1146.5</v>
      </c>
      <c r="G151">
        <v>316.2</v>
      </c>
      <c r="H151">
        <v>62.44</v>
      </c>
      <c r="J151">
        <v>9574</v>
      </c>
      <c r="K151">
        <v>3083</v>
      </c>
      <c r="L151">
        <v>8592</v>
      </c>
      <c r="M151">
        <v>2411</v>
      </c>
      <c r="N151">
        <v>9676</v>
      </c>
      <c r="O151">
        <v>489.5</v>
      </c>
      <c r="P151">
        <v>732.3</v>
      </c>
      <c r="Q151">
        <v>1.8374999999999999</v>
      </c>
      <c r="R151">
        <v>2.8083999999999998</v>
      </c>
      <c r="S151">
        <v>829.5</v>
      </c>
      <c r="T151">
        <v>73.59</v>
      </c>
      <c r="U151">
        <v>79.540000000000006</v>
      </c>
      <c r="V151">
        <v>2.2170999999999998</v>
      </c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</row>
    <row r="152" spans="1:77" x14ac:dyDescent="0.25">
      <c r="A152" s="2">
        <v>46101</v>
      </c>
      <c r="B152">
        <v>637.75</v>
      </c>
      <c r="C152">
        <v>654.75</v>
      </c>
      <c r="D152">
        <v>6.7149999999999999</v>
      </c>
      <c r="E152">
        <v>490.75</v>
      </c>
      <c r="F152">
        <v>1141</v>
      </c>
      <c r="G152">
        <v>318.10000000000002</v>
      </c>
      <c r="H152">
        <v>62.27</v>
      </c>
      <c r="J152">
        <v>9428</v>
      </c>
      <c r="K152">
        <v>3067</v>
      </c>
      <c r="L152">
        <v>8514</v>
      </c>
      <c r="M152">
        <v>2403</v>
      </c>
      <c r="N152">
        <v>9610</v>
      </c>
      <c r="O152">
        <v>492.75</v>
      </c>
      <c r="P152">
        <v>735.5</v>
      </c>
      <c r="Q152">
        <v>1.8474999999999999</v>
      </c>
      <c r="R152">
        <v>3.0203000000000002</v>
      </c>
      <c r="S152">
        <v>852.25</v>
      </c>
      <c r="T152">
        <v>78.58</v>
      </c>
      <c r="U152">
        <v>84.62</v>
      </c>
      <c r="V152">
        <v>2.3479999999999999</v>
      </c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</row>
    <row r="153" spans="1:77" x14ac:dyDescent="0.25">
      <c r="A153" s="2">
        <v>46100</v>
      </c>
      <c r="B153">
        <v>650</v>
      </c>
      <c r="C153">
        <v>675.75</v>
      </c>
      <c r="D153">
        <v>6.8624999999999998</v>
      </c>
      <c r="E153">
        <v>494.5</v>
      </c>
      <c r="F153">
        <v>1146.25</v>
      </c>
      <c r="G153">
        <v>321.5</v>
      </c>
      <c r="H153">
        <v>62.27</v>
      </c>
      <c r="I153">
        <v>4452</v>
      </c>
      <c r="J153">
        <v>9482</v>
      </c>
      <c r="K153">
        <v>3048</v>
      </c>
      <c r="L153">
        <v>8520</v>
      </c>
      <c r="M153">
        <v>2382</v>
      </c>
      <c r="N153">
        <v>9622</v>
      </c>
      <c r="O153">
        <v>492.25</v>
      </c>
      <c r="P153">
        <v>737.9</v>
      </c>
      <c r="Q153">
        <v>1.845</v>
      </c>
      <c r="R153">
        <v>2.907</v>
      </c>
      <c r="S153">
        <v>831.75</v>
      </c>
      <c r="T153">
        <v>78.41</v>
      </c>
      <c r="U153">
        <v>83.96</v>
      </c>
      <c r="V153">
        <v>2.3285999999999998</v>
      </c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</row>
    <row r="154" spans="1:77" x14ac:dyDescent="0.25">
      <c r="A154" s="2">
        <v>46099</v>
      </c>
      <c r="B154">
        <v>644.25</v>
      </c>
      <c r="C154">
        <v>673.5</v>
      </c>
      <c r="D154">
        <v>6.8075000000000001</v>
      </c>
      <c r="E154">
        <v>489.75</v>
      </c>
      <c r="F154">
        <v>1141.5</v>
      </c>
      <c r="G154">
        <v>314.7</v>
      </c>
      <c r="H154">
        <v>62.43</v>
      </c>
      <c r="I154">
        <v>4358</v>
      </c>
      <c r="J154">
        <v>9534</v>
      </c>
      <c r="K154">
        <v>3043</v>
      </c>
      <c r="L154">
        <v>8494</v>
      </c>
      <c r="M154">
        <v>2377</v>
      </c>
      <c r="N154">
        <v>9589</v>
      </c>
      <c r="O154">
        <v>493.75</v>
      </c>
      <c r="P154">
        <v>730.5</v>
      </c>
      <c r="Q154">
        <v>1.8125</v>
      </c>
      <c r="R154">
        <v>2.8767999999999998</v>
      </c>
      <c r="S154">
        <v>819.75</v>
      </c>
      <c r="T154">
        <v>77.86</v>
      </c>
      <c r="U154">
        <v>83.39</v>
      </c>
      <c r="V154">
        <v>2.3258000000000001</v>
      </c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</row>
    <row r="155" spans="1:77" x14ac:dyDescent="0.25">
      <c r="A155" s="2">
        <v>46098</v>
      </c>
      <c r="B155">
        <v>630.25</v>
      </c>
      <c r="C155">
        <v>655</v>
      </c>
      <c r="D155">
        <v>6.6924999999999999</v>
      </c>
      <c r="E155">
        <v>481.75</v>
      </c>
      <c r="F155">
        <v>1131.25</v>
      </c>
      <c r="G155">
        <v>309.8</v>
      </c>
      <c r="H155">
        <v>62.5</v>
      </c>
      <c r="I155">
        <v>4411</v>
      </c>
      <c r="J155">
        <v>9564</v>
      </c>
      <c r="K155">
        <v>3045</v>
      </c>
      <c r="L155">
        <v>8528</v>
      </c>
      <c r="M155">
        <v>2392</v>
      </c>
      <c r="N155">
        <v>9636</v>
      </c>
      <c r="O155">
        <v>492.5</v>
      </c>
      <c r="P155">
        <v>731.6</v>
      </c>
      <c r="Q155">
        <v>1.8075000000000001</v>
      </c>
      <c r="R155">
        <v>2.8258999999999999</v>
      </c>
      <c r="S155">
        <v>787.5</v>
      </c>
      <c r="T155">
        <v>76.36</v>
      </c>
      <c r="U155">
        <v>81.14</v>
      </c>
      <c r="V155">
        <v>2.2673000000000001</v>
      </c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</row>
    <row r="156" spans="1:77" x14ac:dyDescent="0.25">
      <c r="A156" s="2">
        <v>46097</v>
      </c>
      <c r="B156">
        <v>638.25</v>
      </c>
      <c r="C156">
        <v>664</v>
      </c>
      <c r="D156">
        <v>6.7874999999999996</v>
      </c>
      <c r="E156">
        <v>480</v>
      </c>
      <c r="F156">
        <v>1120.75</v>
      </c>
      <c r="G156">
        <v>310.39999999999998</v>
      </c>
      <c r="H156">
        <v>60.68</v>
      </c>
      <c r="I156">
        <v>4488</v>
      </c>
      <c r="J156">
        <v>9592</v>
      </c>
      <c r="K156">
        <v>3056</v>
      </c>
      <c r="L156">
        <v>8614</v>
      </c>
      <c r="M156">
        <v>2405</v>
      </c>
      <c r="N156">
        <v>9682</v>
      </c>
      <c r="O156">
        <v>486</v>
      </c>
      <c r="P156">
        <v>703.6</v>
      </c>
      <c r="Q156">
        <v>1.7725</v>
      </c>
      <c r="R156">
        <v>2.7339000000000002</v>
      </c>
      <c r="S156">
        <v>786.25</v>
      </c>
      <c r="T156">
        <v>74.77</v>
      </c>
      <c r="U156">
        <v>79.23</v>
      </c>
      <c r="V156">
        <v>2.2103000000000002</v>
      </c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</row>
    <row r="157" spans="1:77" x14ac:dyDescent="0.25">
      <c r="A157" s="2">
        <v>46094</v>
      </c>
      <c r="B157">
        <v>653.75</v>
      </c>
      <c r="C157">
        <v>677</v>
      </c>
      <c r="D157">
        <v>6.89</v>
      </c>
      <c r="E157">
        <v>491.5</v>
      </c>
      <c r="F157">
        <v>1161.5</v>
      </c>
      <c r="G157">
        <v>315.5</v>
      </c>
      <c r="H157">
        <v>64</v>
      </c>
      <c r="I157">
        <v>4431</v>
      </c>
      <c r="J157">
        <v>9508</v>
      </c>
      <c r="K157">
        <v>3079</v>
      </c>
      <c r="L157">
        <v>8582</v>
      </c>
      <c r="M157">
        <v>2409</v>
      </c>
      <c r="N157">
        <v>9649</v>
      </c>
      <c r="O157">
        <v>497.75</v>
      </c>
      <c r="P157">
        <v>738.6</v>
      </c>
      <c r="Q157">
        <v>1.7949999999999999</v>
      </c>
      <c r="R157">
        <v>2.7865000000000002</v>
      </c>
      <c r="S157">
        <v>787.75</v>
      </c>
      <c r="T157">
        <v>76.319999999999993</v>
      </c>
      <c r="U157">
        <v>80.48</v>
      </c>
      <c r="V157">
        <v>2.2532000000000001</v>
      </c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</row>
    <row r="158" spans="1:77" x14ac:dyDescent="0.25">
      <c r="A158" s="2">
        <v>46093</v>
      </c>
      <c r="B158">
        <v>639.25</v>
      </c>
      <c r="C158">
        <v>661.5</v>
      </c>
      <c r="D158">
        <v>6.7774999999999999</v>
      </c>
      <c r="E158">
        <v>490</v>
      </c>
      <c r="F158">
        <v>1167.5</v>
      </c>
      <c r="G158">
        <v>316.10000000000002</v>
      </c>
      <c r="H158">
        <v>63.95</v>
      </c>
      <c r="I158">
        <v>4391</v>
      </c>
      <c r="J158">
        <v>9472</v>
      </c>
      <c r="K158">
        <v>3086</v>
      </c>
      <c r="L158">
        <v>8532</v>
      </c>
      <c r="M158">
        <v>2406</v>
      </c>
      <c r="N158">
        <v>9648</v>
      </c>
      <c r="O158">
        <v>497.5</v>
      </c>
      <c r="P158">
        <v>736.4</v>
      </c>
      <c r="Q158">
        <v>1.7749999999999999</v>
      </c>
      <c r="R158">
        <v>2.7730000000000001</v>
      </c>
      <c r="S158">
        <v>778.25</v>
      </c>
      <c r="T158">
        <v>75.17</v>
      </c>
      <c r="U158">
        <v>79.239999999999995</v>
      </c>
      <c r="V158">
        <v>2.2349000000000001</v>
      </c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</row>
    <row r="159" spans="1:77" x14ac:dyDescent="0.25">
      <c r="A159" s="2">
        <v>46092</v>
      </c>
      <c r="B159">
        <v>636.5</v>
      </c>
      <c r="C159">
        <v>661.75</v>
      </c>
      <c r="D159">
        <v>6.79</v>
      </c>
      <c r="E159">
        <v>489</v>
      </c>
      <c r="F159">
        <v>1163.25</v>
      </c>
      <c r="G159">
        <v>314.2</v>
      </c>
      <c r="H159">
        <v>63.8</v>
      </c>
      <c r="I159">
        <v>4344</v>
      </c>
      <c r="J159">
        <v>9338</v>
      </c>
      <c r="K159">
        <v>3078</v>
      </c>
      <c r="L159">
        <v>8416</v>
      </c>
      <c r="M159">
        <v>2393</v>
      </c>
      <c r="N159">
        <v>9587</v>
      </c>
      <c r="O159">
        <v>495</v>
      </c>
      <c r="P159">
        <v>732.6</v>
      </c>
      <c r="Q159">
        <v>1.7775000000000001</v>
      </c>
      <c r="R159">
        <v>2.6951999999999998</v>
      </c>
      <c r="S159">
        <v>753.75</v>
      </c>
      <c r="T159">
        <v>72.31</v>
      </c>
      <c r="U159">
        <v>76.63</v>
      </c>
      <c r="V159">
        <v>2.1637</v>
      </c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</row>
    <row r="160" spans="1:77" x14ac:dyDescent="0.25">
      <c r="A160" s="2">
        <v>46091</v>
      </c>
      <c r="B160">
        <v>634</v>
      </c>
      <c r="C160">
        <v>658</v>
      </c>
      <c r="D160">
        <v>6.7575000000000003</v>
      </c>
      <c r="E160">
        <v>479.75</v>
      </c>
      <c r="F160">
        <v>1153.5</v>
      </c>
      <c r="G160">
        <v>314.2</v>
      </c>
      <c r="H160">
        <v>62.27</v>
      </c>
      <c r="I160">
        <v>4300</v>
      </c>
      <c r="J160">
        <v>9346</v>
      </c>
      <c r="K160">
        <v>3069</v>
      </c>
      <c r="L160">
        <v>8444</v>
      </c>
      <c r="M160">
        <v>2385</v>
      </c>
      <c r="N160">
        <v>9628</v>
      </c>
      <c r="O160">
        <v>484.5</v>
      </c>
      <c r="P160">
        <v>720.5</v>
      </c>
      <c r="Q160">
        <v>1.7224999999999999</v>
      </c>
      <c r="R160">
        <v>2.5880999999999998</v>
      </c>
      <c r="S160">
        <v>744.5</v>
      </c>
      <c r="T160">
        <v>69.37</v>
      </c>
      <c r="U160">
        <v>73.819999999999993</v>
      </c>
      <c r="V160">
        <v>2.0771000000000002</v>
      </c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</row>
    <row r="161" spans="1:77" x14ac:dyDescent="0.25">
      <c r="A161" s="2">
        <v>46090</v>
      </c>
      <c r="B161">
        <v>641.25</v>
      </c>
      <c r="C161">
        <v>666</v>
      </c>
      <c r="D161">
        <v>6.8425000000000002</v>
      </c>
      <c r="E161">
        <v>481.75</v>
      </c>
      <c r="F161">
        <v>1148.25</v>
      </c>
      <c r="G161">
        <v>313.2</v>
      </c>
      <c r="H161">
        <v>62.55</v>
      </c>
      <c r="I161">
        <v>4391</v>
      </c>
      <c r="J161">
        <v>9582</v>
      </c>
      <c r="K161">
        <v>3133</v>
      </c>
      <c r="L161">
        <v>8590</v>
      </c>
      <c r="M161">
        <v>2431</v>
      </c>
      <c r="N161">
        <v>9814</v>
      </c>
      <c r="O161">
        <v>497.5</v>
      </c>
      <c r="P161">
        <v>724.6</v>
      </c>
      <c r="Q161">
        <v>1.77</v>
      </c>
      <c r="R161">
        <v>2.6501999999999999</v>
      </c>
      <c r="S161">
        <v>748.25</v>
      </c>
      <c r="T161">
        <v>71.17</v>
      </c>
      <c r="U161">
        <v>75.88</v>
      </c>
      <c r="V161">
        <v>2.1465999999999998</v>
      </c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</row>
    <row r="162" spans="1:77" x14ac:dyDescent="0.25">
      <c r="A162" s="2">
        <v>46087</v>
      </c>
      <c r="B162">
        <v>652</v>
      </c>
      <c r="C162">
        <v>668</v>
      </c>
      <c r="D162">
        <v>6.8075000000000001</v>
      </c>
      <c r="E162">
        <v>484.5</v>
      </c>
      <c r="F162">
        <v>1146.75</v>
      </c>
      <c r="G162">
        <v>314.39999999999998</v>
      </c>
      <c r="H162">
        <v>62.77</v>
      </c>
      <c r="I162">
        <v>4305</v>
      </c>
      <c r="J162">
        <v>9074</v>
      </c>
      <c r="K162">
        <v>3048</v>
      </c>
      <c r="L162">
        <v>8344</v>
      </c>
      <c r="M162">
        <v>2348</v>
      </c>
      <c r="N162">
        <v>9495</v>
      </c>
      <c r="O162">
        <v>491.75</v>
      </c>
      <c r="P162">
        <v>731.7</v>
      </c>
      <c r="Q162">
        <v>1.7975000000000001</v>
      </c>
      <c r="R162">
        <v>2.5769000000000002</v>
      </c>
      <c r="S162">
        <v>730</v>
      </c>
      <c r="T162">
        <v>69.239999999999995</v>
      </c>
      <c r="U162">
        <v>73.31</v>
      </c>
      <c r="V162">
        <v>2.0907</v>
      </c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</row>
    <row r="163" spans="1:77" x14ac:dyDescent="0.25">
      <c r="A163" s="2">
        <v>46086</v>
      </c>
      <c r="B163">
        <v>621.75</v>
      </c>
      <c r="C163">
        <v>639.5</v>
      </c>
      <c r="D163">
        <v>6.625</v>
      </c>
      <c r="E163">
        <v>478</v>
      </c>
      <c r="F163">
        <v>1136.5</v>
      </c>
      <c r="G163">
        <v>310</v>
      </c>
      <c r="H163">
        <v>62.23</v>
      </c>
      <c r="I163">
        <v>4189</v>
      </c>
      <c r="J163">
        <v>8994</v>
      </c>
      <c r="K163">
        <v>3009</v>
      </c>
      <c r="L163">
        <v>8310</v>
      </c>
      <c r="M163">
        <v>2318</v>
      </c>
      <c r="N163">
        <v>9387</v>
      </c>
      <c r="O163">
        <v>485.75</v>
      </c>
      <c r="P163">
        <v>725.2</v>
      </c>
      <c r="Q163">
        <v>1.77</v>
      </c>
      <c r="R163">
        <v>2.5320999999999998</v>
      </c>
      <c r="S163">
        <v>723.25</v>
      </c>
      <c r="T163">
        <v>67.31</v>
      </c>
      <c r="U163">
        <v>71.25</v>
      </c>
      <c r="V163">
        <v>2.0421</v>
      </c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</row>
    <row r="164" spans="1:77" x14ac:dyDescent="0.25">
      <c r="A164" s="2">
        <v>46085</v>
      </c>
      <c r="B164">
        <v>607.25</v>
      </c>
      <c r="C164">
        <v>620.75</v>
      </c>
      <c r="D164">
        <v>6.56</v>
      </c>
      <c r="E164">
        <v>470.25</v>
      </c>
      <c r="F164">
        <v>1130.5</v>
      </c>
      <c r="G164">
        <v>311.7</v>
      </c>
      <c r="H164">
        <v>60.73</v>
      </c>
      <c r="I164">
        <v>4169</v>
      </c>
      <c r="J164">
        <v>8980</v>
      </c>
      <c r="K164">
        <v>3007</v>
      </c>
      <c r="L164">
        <v>8330</v>
      </c>
      <c r="M164">
        <v>2321</v>
      </c>
      <c r="N164">
        <v>9376</v>
      </c>
      <c r="O164">
        <v>479.25</v>
      </c>
      <c r="P164">
        <v>717.4</v>
      </c>
      <c r="Q164">
        <v>1.7350000000000001</v>
      </c>
      <c r="R164">
        <v>2.4937</v>
      </c>
      <c r="S164">
        <v>713.75</v>
      </c>
      <c r="T164">
        <v>65.7</v>
      </c>
      <c r="U164">
        <v>70.040000000000006</v>
      </c>
      <c r="V164">
        <v>2.0070000000000001</v>
      </c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</row>
    <row r="165" spans="1:77" x14ac:dyDescent="0.25">
      <c r="A165" s="2">
        <v>46084</v>
      </c>
      <c r="B165">
        <v>614.25</v>
      </c>
      <c r="C165">
        <v>627.25</v>
      </c>
      <c r="D165">
        <v>6.5824999999999996</v>
      </c>
      <c r="E165">
        <v>471.25</v>
      </c>
      <c r="F165">
        <v>1131.5</v>
      </c>
      <c r="G165">
        <v>314.89999999999998</v>
      </c>
      <c r="H165">
        <v>60.46</v>
      </c>
      <c r="I165">
        <v>4174</v>
      </c>
      <c r="J165">
        <v>8958</v>
      </c>
      <c r="K165">
        <v>3019</v>
      </c>
      <c r="L165">
        <v>8290</v>
      </c>
      <c r="M165">
        <v>2329</v>
      </c>
      <c r="N165">
        <v>9347</v>
      </c>
      <c r="O165">
        <v>482.5</v>
      </c>
      <c r="P165">
        <v>713.9</v>
      </c>
      <c r="Q165">
        <v>1.74</v>
      </c>
      <c r="R165">
        <v>2.5125000000000002</v>
      </c>
      <c r="S165">
        <v>725</v>
      </c>
      <c r="T165">
        <v>65.290000000000006</v>
      </c>
      <c r="U165">
        <v>69.77</v>
      </c>
      <c r="V165">
        <v>1.9957</v>
      </c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</row>
    <row r="166" spans="1:77" x14ac:dyDescent="0.25">
      <c r="A166" s="2">
        <v>46083</v>
      </c>
      <c r="B166">
        <v>615.25</v>
      </c>
      <c r="C166">
        <v>623.5</v>
      </c>
      <c r="D166">
        <v>6.5449999999999999</v>
      </c>
      <c r="E166">
        <v>470</v>
      </c>
      <c r="F166">
        <v>1128.75</v>
      </c>
      <c r="G166">
        <v>315.2</v>
      </c>
      <c r="H166">
        <v>60.52</v>
      </c>
      <c r="I166">
        <v>4138</v>
      </c>
      <c r="J166">
        <v>8864</v>
      </c>
      <c r="K166">
        <v>3003</v>
      </c>
      <c r="L166">
        <v>8196</v>
      </c>
      <c r="M166">
        <v>2307</v>
      </c>
      <c r="N166">
        <v>9227</v>
      </c>
      <c r="O166">
        <v>478.75</v>
      </c>
      <c r="P166">
        <v>708.5</v>
      </c>
      <c r="Q166">
        <v>1.7375</v>
      </c>
      <c r="R166">
        <v>2.4706000000000001</v>
      </c>
      <c r="S166">
        <v>709</v>
      </c>
      <c r="T166">
        <v>64.78</v>
      </c>
      <c r="U166">
        <v>69.42</v>
      </c>
      <c r="V166">
        <v>1.9821</v>
      </c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</row>
    <row r="167" spans="1:77" x14ac:dyDescent="0.25">
      <c r="A167" s="2">
        <v>46080</v>
      </c>
      <c r="B167">
        <v>626.75</v>
      </c>
      <c r="C167">
        <v>629</v>
      </c>
      <c r="D167">
        <v>6.5824999999999996</v>
      </c>
      <c r="E167">
        <v>469.5</v>
      </c>
      <c r="F167">
        <v>1128.25</v>
      </c>
      <c r="G167">
        <v>317.89999999999998</v>
      </c>
      <c r="H167">
        <v>59.73</v>
      </c>
      <c r="I167">
        <v>4029</v>
      </c>
      <c r="J167">
        <v>8764</v>
      </c>
      <c r="K167">
        <v>3003</v>
      </c>
      <c r="L167">
        <v>8170</v>
      </c>
      <c r="M167">
        <v>2293</v>
      </c>
      <c r="N167">
        <v>9144</v>
      </c>
      <c r="O167">
        <v>474</v>
      </c>
      <c r="P167">
        <v>698.9</v>
      </c>
      <c r="Q167">
        <v>1.7350000000000001</v>
      </c>
      <c r="R167">
        <v>2.4039000000000001</v>
      </c>
      <c r="S167">
        <v>674.25</v>
      </c>
      <c r="T167">
        <v>63.73</v>
      </c>
      <c r="U167">
        <v>68.239999999999995</v>
      </c>
      <c r="V167">
        <v>1.9426000000000001</v>
      </c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</row>
    <row r="168" spans="1:77" x14ac:dyDescent="0.25">
      <c r="A168" s="2">
        <v>46079</v>
      </c>
      <c r="B168">
        <v>610.75</v>
      </c>
      <c r="C168">
        <v>612.5</v>
      </c>
      <c r="D168">
        <v>6.48</v>
      </c>
      <c r="E168">
        <v>467</v>
      </c>
      <c r="F168">
        <v>1127.5</v>
      </c>
      <c r="G168">
        <v>318.7</v>
      </c>
      <c r="H168">
        <v>59.56</v>
      </c>
      <c r="I168">
        <v>3992</v>
      </c>
      <c r="J168">
        <v>8778</v>
      </c>
      <c r="K168">
        <v>3001</v>
      </c>
      <c r="L168">
        <v>8136</v>
      </c>
      <c r="M168">
        <v>2298</v>
      </c>
      <c r="N168">
        <v>9136</v>
      </c>
      <c r="O168">
        <v>473.75</v>
      </c>
      <c r="P168">
        <v>705.1</v>
      </c>
      <c r="Q168">
        <v>1.7375</v>
      </c>
      <c r="R168">
        <v>2.3681999999999999</v>
      </c>
      <c r="S168">
        <v>673</v>
      </c>
      <c r="T168">
        <v>62.58</v>
      </c>
      <c r="U168">
        <v>67.010000000000005</v>
      </c>
      <c r="V168">
        <v>1.9171</v>
      </c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</row>
    <row r="169" spans="1:77" x14ac:dyDescent="0.25">
      <c r="A169" s="2">
        <v>46078</v>
      </c>
      <c r="B169">
        <v>606.5</v>
      </c>
      <c r="C169">
        <v>613.25</v>
      </c>
      <c r="D169">
        <v>6.4474999999999998</v>
      </c>
      <c r="E169">
        <v>467</v>
      </c>
      <c r="F169">
        <v>1127.75</v>
      </c>
      <c r="G169">
        <v>320.60000000000002</v>
      </c>
      <c r="H169">
        <v>58.86</v>
      </c>
      <c r="I169">
        <v>4029</v>
      </c>
      <c r="J169">
        <v>8830</v>
      </c>
      <c r="K169">
        <v>2989</v>
      </c>
      <c r="L169">
        <v>8112</v>
      </c>
      <c r="M169">
        <v>2288</v>
      </c>
      <c r="N169">
        <v>9140</v>
      </c>
      <c r="O169">
        <v>470.75</v>
      </c>
      <c r="P169">
        <v>703.5</v>
      </c>
      <c r="Q169">
        <v>1.74</v>
      </c>
      <c r="R169">
        <v>2.3645999999999998</v>
      </c>
      <c r="S169">
        <v>661</v>
      </c>
      <c r="T169">
        <v>63.05</v>
      </c>
      <c r="U169">
        <v>67.23</v>
      </c>
      <c r="V169">
        <v>1.9154</v>
      </c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</row>
    <row r="170" spans="1:77" x14ac:dyDescent="0.25">
      <c r="A170" s="2">
        <v>46077</v>
      </c>
      <c r="B170">
        <v>611.5</v>
      </c>
      <c r="C170">
        <v>617</v>
      </c>
      <c r="D170">
        <v>6.4325000000000001</v>
      </c>
      <c r="E170">
        <v>463.75</v>
      </c>
      <c r="F170">
        <v>1121.25</v>
      </c>
      <c r="G170">
        <v>316.2</v>
      </c>
      <c r="H170">
        <v>58.97</v>
      </c>
      <c r="I170">
        <v>4039</v>
      </c>
      <c r="J170">
        <v>8828</v>
      </c>
      <c r="K170">
        <v>2961</v>
      </c>
      <c r="L170">
        <v>8056</v>
      </c>
      <c r="M170">
        <v>2268</v>
      </c>
      <c r="N170">
        <v>9103</v>
      </c>
      <c r="O170">
        <v>475</v>
      </c>
      <c r="P170">
        <v>702.2</v>
      </c>
      <c r="Q170">
        <v>1.7275</v>
      </c>
      <c r="R170">
        <v>2.3572000000000002</v>
      </c>
      <c r="S170">
        <v>663</v>
      </c>
      <c r="T170">
        <v>63.13</v>
      </c>
      <c r="U170">
        <v>67.150000000000006</v>
      </c>
      <c r="V170">
        <v>1.9072</v>
      </c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</row>
    <row r="171" spans="1:77" x14ac:dyDescent="0.25">
      <c r="A171" s="2">
        <v>46076</v>
      </c>
      <c r="B171">
        <v>610.75</v>
      </c>
      <c r="C171">
        <v>620</v>
      </c>
      <c r="D171">
        <v>6.4474999999999998</v>
      </c>
      <c r="E171">
        <v>464.5</v>
      </c>
      <c r="F171">
        <v>1117.25</v>
      </c>
      <c r="G171">
        <v>314.89999999999998</v>
      </c>
      <c r="H171">
        <v>58.47</v>
      </c>
      <c r="I171">
        <v>4066</v>
      </c>
      <c r="O171">
        <v>473.75</v>
      </c>
      <c r="P171">
        <v>699</v>
      </c>
      <c r="Q171">
        <v>1.7275</v>
      </c>
      <c r="R171">
        <v>2.3553000000000002</v>
      </c>
      <c r="S171">
        <v>670</v>
      </c>
      <c r="T171">
        <v>63.23</v>
      </c>
      <c r="U171">
        <v>67.180000000000007</v>
      </c>
      <c r="V171">
        <v>1.9094</v>
      </c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</row>
    <row r="172" spans="1:77" x14ac:dyDescent="0.25">
      <c r="A172" s="2">
        <v>46073</v>
      </c>
      <c r="B172">
        <v>615</v>
      </c>
      <c r="C172">
        <v>630</v>
      </c>
      <c r="D172">
        <v>6.48</v>
      </c>
      <c r="E172">
        <v>464.5</v>
      </c>
      <c r="F172">
        <v>1115</v>
      </c>
      <c r="G172">
        <v>316.10000000000002</v>
      </c>
      <c r="H172">
        <v>57.84</v>
      </c>
      <c r="I172">
        <v>4099</v>
      </c>
      <c r="O172">
        <v>471.5</v>
      </c>
      <c r="P172">
        <v>693.9</v>
      </c>
      <c r="Q172">
        <v>1.7124999999999999</v>
      </c>
      <c r="R172">
        <v>2.3378000000000001</v>
      </c>
      <c r="S172">
        <v>663</v>
      </c>
      <c r="T172">
        <v>63.08</v>
      </c>
      <c r="U172">
        <v>67.06</v>
      </c>
      <c r="V172">
        <v>1.9067000000000001</v>
      </c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</row>
    <row r="173" spans="1:77" x14ac:dyDescent="0.25">
      <c r="A173" s="2">
        <v>46072</v>
      </c>
      <c r="B173">
        <v>603</v>
      </c>
      <c r="C173">
        <v>622.5</v>
      </c>
      <c r="D173">
        <v>6.4249999999999998</v>
      </c>
      <c r="E173">
        <v>461.5</v>
      </c>
      <c r="F173">
        <v>1118.25</v>
      </c>
      <c r="G173">
        <v>313.2</v>
      </c>
      <c r="H173">
        <v>58.49</v>
      </c>
      <c r="I173">
        <v>4102</v>
      </c>
      <c r="O173">
        <v>475.75</v>
      </c>
      <c r="P173">
        <v>694.5</v>
      </c>
      <c r="Q173">
        <v>1.7150000000000001</v>
      </c>
      <c r="R173">
        <v>2.3420999999999998</v>
      </c>
      <c r="S173">
        <v>659.5</v>
      </c>
      <c r="T173">
        <v>63.01</v>
      </c>
      <c r="U173">
        <v>67.03</v>
      </c>
      <c r="V173">
        <v>1.9001999999999999</v>
      </c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</row>
    <row r="174" spans="1:77" x14ac:dyDescent="0.25">
      <c r="A174" s="2">
        <v>46071</v>
      </c>
      <c r="B174">
        <v>589</v>
      </c>
      <c r="C174">
        <v>609</v>
      </c>
      <c r="D174">
        <v>6.3425000000000002</v>
      </c>
      <c r="E174">
        <v>461</v>
      </c>
      <c r="F174">
        <v>1116.5</v>
      </c>
      <c r="G174">
        <v>314.2</v>
      </c>
      <c r="H174">
        <v>57.7</v>
      </c>
      <c r="O174">
        <v>470.5</v>
      </c>
      <c r="P174">
        <v>693.5</v>
      </c>
      <c r="Q174">
        <v>1.6875</v>
      </c>
      <c r="R174">
        <v>2.3043999999999998</v>
      </c>
      <c r="S174">
        <v>646</v>
      </c>
      <c r="T174">
        <v>62.22</v>
      </c>
      <c r="U174">
        <v>66.19</v>
      </c>
      <c r="V174">
        <v>1.8721000000000001</v>
      </c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</row>
    <row r="175" spans="1:77" x14ac:dyDescent="0.25">
      <c r="A175" s="2">
        <v>46070</v>
      </c>
      <c r="B175">
        <v>581.5</v>
      </c>
      <c r="C175">
        <v>600</v>
      </c>
      <c r="D175">
        <v>6.29</v>
      </c>
      <c r="E175">
        <v>460</v>
      </c>
      <c r="F175">
        <v>1117.5</v>
      </c>
      <c r="G175">
        <v>318.2</v>
      </c>
      <c r="H175">
        <v>56.51</v>
      </c>
      <c r="O175">
        <v>468.5</v>
      </c>
      <c r="P175">
        <v>686.5</v>
      </c>
      <c r="Q175">
        <v>1.6775</v>
      </c>
      <c r="R175">
        <v>2.2315</v>
      </c>
      <c r="S175">
        <v>629.25</v>
      </c>
      <c r="T175">
        <v>60.47</v>
      </c>
      <c r="U175">
        <v>64.37</v>
      </c>
      <c r="V175">
        <v>1.8201000000000001</v>
      </c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</row>
    <row r="176" spans="1:77" x14ac:dyDescent="0.25">
      <c r="A176" s="2">
        <v>46069</v>
      </c>
      <c r="I176">
        <v>3999</v>
      </c>
      <c r="O176">
        <v>470.25</v>
      </c>
      <c r="S176">
        <v>635.75</v>
      </c>
      <c r="U176">
        <v>65.2</v>
      </c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</row>
    <row r="177" spans="1:77" x14ac:dyDescent="0.25">
      <c r="A177" s="2">
        <v>46066</v>
      </c>
      <c r="B177">
        <v>586.25</v>
      </c>
      <c r="C177">
        <v>603</v>
      </c>
      <c r="D177">
        <v>6.3324999999999996</v>
      </c>
      <c r="E177">
        <v>464.5</v>
      </c>
      <c r="F177">
        <v>1113.5</v>
      </c>
      <c r="G177">
        <v>318</v>
      </c>
      <c r="H177">
        <v>56.08</v>
      </c>
      <c r="I177">
        <v>4020</v>
      </c>
      <c r="J177">
        <v>8700</v>
      </c>
      <c r="K177">
        <v>2963</v>
      </c>
      <c r="L177">
        <v>7994</v>
      </c>
      <c r="M177">
        <v>2266</v>
      </c>
      <c r="N177">
        <v>8981</v>
      </c>
      <c r="O177">
        <v>466.25</v>
      </c>
      <c r="P177">
        <v>686.3</v>
      </c>
      <c r="Q177">
        <v>1.6975</v>
      </c>
      <c r="R177">
        <v>2.2262</v>
      </c>
      <c r="S177">
        <v>630.75</v>
      </c>
      <c r="T177">
        <v>60.71</v>
      </c>
      <c r="U177">
        <v>64.510000000000005</v>
      </c>
      <c r="V177">
        <v>1.8229</v>
      </c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</row>
    <row r="178" spans="1:77" x14ac:dyDescent="0.25">
      <c r="A178" s="2">
        <v>46065</v>
      </c>
      <c r="B178">
        <v>595.75</v>
      </c>
      <c r="C178">
        <v>613.75</v>
      </c>
      <c r="D178">
        <v>6.39</v>
      </c>
      <c r="E178">
        <v>464</v>
      </c>
      <c r="F178">
        <v>1116.25</v>
      </c>
      <c r="G178">
        <v>316.5</v>
      </c>
      <c r="H178">
        <v>56.47</v>
      </c>
      <c r="I178">
        <v>4019</v>
      </c>
      <c r="J178">
        <v>8788</v>
      </c>
      <c r="K178">
        <v>2955</v>
      </c>
      <c r="L178">
        <v>8038</v>
      </c>
      <c r="M178">
        <v>2258</v>
      </c>
      <c r="N178">
        <v>9036</v>
      </c>
      <c r="O178">
        <v>469.75</v>
      </c>
      <c r="P178">
        <v>687.2</v>
      </c>
      <c r="Q178">
        <v>1.72</v>
      </c>
      <c r="R178">
        <v>2.2336999999999998</v>
      </c>
      <c r="S178">
        <v>634.25</v>
      </c>
      <c r="T178">
        <v>60.75</v>
      </c>
      <c r="U178">
        <v>64.52</v>
      </c>
      <c r="V178">
        <v>1.8234999999999999</v>
      </c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</row>
    <row r="179" spans="1:77" x14ac:dyDescent="0.25">
      <c r="A179" s="2">
        <v>46064</v>
      </c>
      <c r="B179">
        <v>584.5</v>
      </c>
      <c r="C179">
        <v>599.5</v>
      </c>
      <c r="D179">
        <v>6.3125</v>
      </c>
      <c r="E179">
        <v>459.75</v>
      </c>
      <c r="F179">
        <v>1110.5</v>
      </c>
      <c r="G179">
        <v>314.8</v>
      </c>
      <c r="H179">
        <v>56.26</v>
      </c>
      <c r="I179">
        <v>4043</v>
      </c>
      <c r="J179">
        <v>8836</v>
      </c>
      <c r="K179">
        <v>2943</v>
      </c>
      <c r="L179">
        <v>8048</v>
      </c>
      <c r="M179">
        <v>2245</v>
      </c>
      <c r="N179">
        <v>9034</v>
      </c>
      <c r="O179">
        <v>468.5</v>
      </c>
      <c r="P179">
        <v>682.3</v>
      </c>
      <c r="Q179">
        <v>1.7124999999999999</v>
      </c>
      <c r="R179">
        <v>2.2816999999999998</v>
      </c>
      <c r="S179">
        <v>648.25</v>
      </c>
      <c r="T179">
        <v>62.27</v>
      </c>
      <c r="U179">
        <v>66.010000000000005</v>
      </c>
      <c r="V179">
        <v>1.8675999999999999</v>
      </c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</row>
    <row r="180" spans="1:77" x14ac:dyDescent="0.25">
      <c r="A180" s="2">
        <v>46063</v>
      </c>
      <c r="B180">
        <v>579.5</v>
      </c>
      <c r="C180">
        <v>593.5</v>
      </c>
      <c r="D180">
        <v>6.2750000000000004</v>
      </c>
      <c r="E180">
        <v>458.25</v>
      </c>
      <c r="F180">
        <v>1106.5</v>
      </c>
      <c r="G180">
        <v>313.60000000000002</v>
      </c>
      <c r="H180">
        <v>56.42</v>
      </c>
      <c r="I180">
        <v>4047</v>
      </c>
      <c r="J180">
        <v>8878</v>
      </c>
      <c r="K180">
        <v>2929</v>
      </c>
      <c r="L180">
        <v>8056</v>
      </c>
      <c r="M180">
        <v>2229</v>
      </c>
      <c r="N180">
        <v>9054</v>
      </c>
      <c r="O180">
        <v>469.25</v>
      </c>
      <c r="P180">
        <v>682.6</v>
      </c>
      <c r="Q180">
        <v>1.6924999999999999</v>
      </c>
      <c r="R180">
        <v>2.2643</v>
      </c>
      <c r="S180">
        <v>639.75</v>
      </c>
      <c r="T180">
        <v>61.89</v>
      </c>
      <c r="U180">
        <v>65.64</v>
      </c>
      <c r="V180">
        <v>1.8555999999999999</v>
      </c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</row>
    <row r="181" spans="1:77" x14ac:dyDescent="0.25">
      <c r="A181" s="2">
        <v>46062</v>
      </c>
      <c r="B181">
        <v>580</v>
      </c>
      <c r="C181">
        <v>591.75</v>
      </c>
      <c r="D181">
        <v>6.2925000000000004</v>
      </c>
      <c r="E181">
        <v>457.25</v>
      </c>
      <c r="F181">
        <v>1095.75</v>
      </c>
      <c r="G181">
        <v>311.3</v>
      </c>
      <c r="H181">
        <v>55.87</v>
      </c>
      <c r="I181">
        <v>4112</v>
      </c>
      <c r="J181">
        <v>8892</v>
      </c>
      <c r="K181">
        <v>2937</v>
      </c>
      <c r="L181">
        <v>8078</v>
      </c>
      <c r="M181">
        <v>2237</v>
      </c>
      <c r="N181">
        <v>9067</v>
      </c>
      <c r="O181">
        <v>471.25</v>
      </c>
      <c r="P181">
        <v>681.1</v>
      </c>
      <c r="Q181">
        <v>1.6875</v>
      </c>
      <c r="R181">
        <v>2.2698999999999998</v>
      </c>
      <c r="S181">
        <v>642</v>
      </c>
      <c r="T181">
        <v>62.11</v>
      </c>
      <c r="U181">
        <v>65.87</v>
      </c>
      <c r="V181">
        <v>1.8609</v>
      </c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</row>
    <row r="182" spans="1:77" x14ac:dyDescent="0.25">
      <c r="A182" s="2">
        <v>46059</v>
      </c>
      <c r="B182">
        <v>580</v>
      </c>
      <c r="C182">
        <v>593.5</v>
      </c>
      <c r="D182">
        <v>6.3174999999999999</v>
      </c>
      <c r="E182">
        <v>457.75</v>
      </c>
      <c r="F182">
        <v>1094</v>
      </c>
      <c r="G182">
        <v>313.10000000000002</v>
      </c>
      <c r="H182">
        <v>54.74</v>
      </c>
      <c r="I182">
        <v>4109</v>
      </c>
      <c r="J182">
        <v>8926</v>
      </c>
      <c r="K182">
        <v>2930</v>
      </c>
      <c r="L182">
        <v>8028</v>
      </c>
      <c r="M182">
        <v>2235</v>
      </c>
      <c r="N182">
        <v>9062</v>
      </c>
      <c r="O182">
        <v>471.75</v>
      </c>
      <c r="P182">
        <v>676</v>
      </c>
      <c r="Q182">
        <v>1.6775</v>
      </c>
      <c r="R182">
        <v>2.2439</v>
      </c>
      <c r="S182">
        <v>639.25</v>
      </c>
      <c r="T182">
        <v>61.31</v>
      </c>
      <c r="U182">
        <v>65.09</v>
      </c>
      <c r="V182">
        <v>1.837</v>
      </c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</row>
    <row r="183" spans="1:77" x14ac:dyDescent="0.25">
      <c r="A183" s="2">
        <v>46058</v>
      </c>
      <c r="B183">
        <v>585.75</v>
      </c>
      <c r="C183">
        <v>599.5</v>
      </c>
      <c r="D183">
        <v>6.33</v>
      </c>
      <c r="E183">
        <v>461</v>
      </c>
      <c r="F183">
        <v>1098.5</v>
      </c>
      <c r="G183">
        <v>314.2</v>
      </c>
      <c r="H183">
        <v>55.15</v>
      </c>
      <c r="I183">
        <v>4156</v>
      </c>
      <c r="J183">
        <v>9010</v>
      </c>
      <c r="K183">
        <v>2915</v>
      </c>
      <c r="L183">
        <v>8062</v>
      </c>
      <c r="M183">
        <v>2228</v>
      </c>
      <c r="N183">
        <v>9042</v>
      </c>
      <c r="O183">
        <v>471.25</v>
      </c>
      <c r="P183">
        <v>679.7</v>
      </c>
      <c r="Q183">
        <v>1.66</v>
      </c>
      <c r="R183">
        <v>2.2347999999999999</v>
      </c>
      <c r="S183">
        <v>632.75</v>
      </c>
      <c r="T183">
        <v>60.82</v>
      </c>
      <c r="U183">
        <v>64.58</v>
      </c>
      <c r="V183">
        <v>1.8192999999999999</v>
      </c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</row>
    <row r="184" spans="1:77" x14ac:dyDescent="0.25">
      <c r="A184" s="2">
        <v>46057</v>
      </c>
      <c r="B184">
        <v>579</v>
      </c>
      <c r="C184">
        <v>593</v>
      </c>
      <c r="D184">
        <v>6.2850000000000001</v>
      </c>
      <c r="E184">
        <v>457.25</v>
      </c>
      <c r="F184">
        <v>1087.5</v>
      </c>
      <c r="G184">
        <v>308.8</v>
      </c>
      <c r="H184">
        <v>55.17</v>
      </c>
      <c r="I184">
        <v>4154</v>
      </c>
      <c r="J184">
        <v>9024</v>
      </c>
      <c r="K184">
        <v>2893</v>
      </c>
      <c r="L184">
        <v>8046</v>
      </c>
      <c r="M184">
        <v>2229</v>
      </c>
      <c r="N184">
        <v>9114</v>
      </c>
      <c r="O184">
        <v>467.75</v>
      </c>
      <c r="P184">
        <v>676.5</v>
      </c>
      <c r="Q184">
        <v>1.655</v>
      </c>
      <c r="R184">
        <v>2.2684000000000002</v>
      </c>
      <c r="S184">
        <v>633</v>
      </c>
      <c r="T184">
        <v>61.98</v>
      </c>
      <c r="U184">
        <v>65.8</v>
      </c>
      <c r="V184">
        <v>1.8494999999999999</v>
      </c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</row>
    <row r="185" spans="1:77" x14ac:dyDescent="0.25">
      <c r="A185" s="2">
        <v>46056</v>
      </c>
      <c r="B185">
        <v>580.25</v>
      </c>
      <c r="C185">
        <v>596</v>
      </c>
      <c r="D185">
        <v>6.3</v>
      </c>
      <c r="E185">
        <v>456.75</v>
      </c>
      <c r="F185">
        <v>1079.25</v>
      </c>
      <c r="G185">
        <v>308.3</v>
      </c>
      <c r="H185">
        <v>54.33</v>
      </c>
      <c r="I185">
        <v>4126</v>
      </c>
      <c r="J185">
        <v>8952</v>
      </c>
      <c r="K185">
        <v>2896</v>
      </c>
      <c r="L185">
        <v>8006</v>
      </c>
      <c r="M185">
        <v>2234</v>
      </c>
      <c r="N185">
        <v>9023</v>
      </c>
      <c r="O185">
        <v>464.5</v>
      </c>
      <c r="P185">
        <v>669.4</v>
      </c>
      <c r="Q185">
        <v>1.665</v>
      </c>
      <c r="R185">
        <v>2.2235</v>
      </c>
      <c r="S185">
        <v>629.25</v>
      </c>
      <c r="T185">
        <v>60.54</v>
      </c>
      <c r="U185">
        <v>64.23</v>
      </c>
      <c r="V185">
        <v>1.8069</v>
      </c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</row>
    <row r="186" spans="1:77" x14ac:dyDescent="0.25">
      <c r="A186" s="2">
        <v>46055</v>
      </c>
      <c r="B186">
        <v>578.75</v>
      </c>
      <c r="C186">
        <v>594.5</v>
      </c>
      <c r="D186">
        <v>6.32</v>
      </c>
      <c r="E186">
        <v>454.75</v>
      </c>
      <c r="F186">
        <v>1075.25</v>
      </c>
      <c r="G186">
        <v>310.39999999999998</v>
      </c>
      <c r="H186">
        <v>53.19</v>
      </c>
      <c r="J186">
        <v>8976</v>
      </c>
      <c r="K186">
        <v>2903</v>
      </c>
      <c r="L186">
        <v>8056</v>
      </c>
      <c r="M186">
        <v>2235</v>
      </c>
      <c r="N186">
        <v>9044</v>
      </c>
      <c r="O186">
        <v>461.25</v>
      </c>
      <c r="P186">
        <v>664.6</v>
      </c>
      <c r="Q186">
        <v>1.65</v>
      </c>
      <c r="R186">
        <v>2.1829999999999998</v>
      </c>
      <c r="S186">
        <v>621.5</v>
      </c>
      <c r="T186">
        <v>59.41</v>
      </c>
      <c r="U186">
        <v>63.12</v>
      </c>
      <c r="V186">
        <v>1.7749999999999999</v>
      </c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</row>
    <row r="187" spans="1:77" x14ac:dyDescent="0.25">
      <c r="A187" s="2">
        <v>46052</v>
      </c>
      <c r="B187">
        <v>585.75</v>
      </c>
      <c r="C187">
        <v>601.25</v>
      </c>
      <c r="D187">
        <v>6.375</v>
      </c>
      <c r="E187">
        <v>456</v>
      </c>
      <c r="F187">
        <v>1079.75</v>
      </c>
      <c r="G187">
        <v>309.7</v>
      </c>
      <c r="H187">
        <v>53.55</v>
      </c>
      <c r="I187">
        <v>4115</v>
      </c>
      <c r="J187">
        <v>9056</v>
      </c>
      <c r="K187">
        <v>2915</v>
      </c>
      <c r="L187">
        <v>8222</v>
      </c>
      <c r="M187">
        <v>2242</v>
      </c>
      <c r="N187">
        <v>9217</v>
      </c>
      <c r="O187">
        <v>460.75</v>
      </c>
      <c r="P187">
        <v>665.1</v>
      </c>
      <c r="Q187">
        <v>1.6525000000000001</v>
      </c>
      <c r="R187">
        <v>2.2614999999999998</v>
      </c>
      <c r="S187">
        <v>651.75</v>
      </c>
      <c r="T187">
        <v>62.01</v>
      </c>
      <c r="U187">
        <v>65.81</v>
      </c>
      <c r="V187">
        <v>1.8403</v>
      </c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</row>
    <row r="188" spans="1:77" x14ac:dyDescent="0.25">
      <c r="A188" s="2">
        <v>46051</v>
      </c>
      <c r="B188">
        <v>592</v>
      </c>
      <c r="C188">
        <v>605.25</v>
      </c>
      <c r="D188">
        <v>6.3949999999999996</v>
      </c>
      <c r="E188">
        <v>459</v>
      </c>
      <c r="F188">
        <v>1089.75</v>
      </c>
      <c r="G188">
        <v>312.8</v>
      </c>
      <c r="H188">
        <v>54.08</v>
      </c>
      <c r="I188">
        <v>4174</v>
      </c>
      <c r="J188">
        <v>9138</v>
      </c>
      <c r="K188">
        <v>2931</v>
      </c>
      <c r="L188">
        <v>8226</v>
      </c>
      <c r="M188">
        <v>2248</v>
      </c>
      <c r="N188">
        <v>9188</v>
      </c>
      <c r="O188">
        <v>464</v>
      </c>
      <c r="P188">
        <v>664.8</v>
      </c>
      <c r="Q188">
        <v>1.655</v>
      </c>
      <c r="R188">
        <v>2.2696000000000001</v>
      </c>
      <c r="S188">
        <v>644</v>
      </c>
      <c r="T188">
        <v>62.1</v>
      </c>
      <c r="U188">
        <v>65.88</v>
      </c>
      <c r="V188">
        <v>1.841</v>
      </c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</row>
    <row r="189" spans="1:77" x14ac:dyDescent="0.25">
      <c r="A189" s="2">
        <v>46050</v>
      </c>
      <c r="B189">
        <v>587.25</v>
      </c>
      <c r="C189">
        <v>600.25</v>
      </c>
      <c r="D189">
        <v>6.3250000000000002</v>
      </c>
      <c r="E189">
        <v>457.75</v>
      </c>
      <c r="F189">
        <v>1090</v>
      </c>
      <c r="G189">
        <v>313.7</v>
      </c>
      <c r="H189">
        <v>54.29</v>
      </c>
      <c r="I189">
        <v>4140</v>
      </c>
      <c r="J189">
        <v>9056</v>
      </c>
      <c r="K189">
        <v>2915</v>
      </c>
      <c r="L189">
        <v>8190</v>
      </c>
      <c r="M189">
        <v>2228</v>
      </c>
      <c r="N189">
        <v>9187</v>
      </c>
      <c r="O189">
        <v>466</v>
      </c>
      <c r="P189">
        <v>666.8</v>
      </c>
      <c r="Q189">
        <v>1.6625000000000001</v>
      </c>
      <c r="R189">
        <v>2.2294</v>
      </c>
      <c r="S189">
        <v>630.75</v>
      </c>
      <c r="T189">
        <v>60.85</v>
      </c>
      <c r="U189">
        <v>64.58</v>
      </c>
      <c r="V189">
        <v>1.8109</v>
      </c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</row>
    <row r="190" spans="1:77" x14ac:dyDescent="0.25">
      <c r="A190" s="2">
        <v>46049</v>
      </c>
      <c r="B190">
        <v>577</v>
      </c>
      <c r="C190">
        <v>590.25</v>
      </c>
      <c r="D190">
        <v>6.3150000000000004</v>
      </c>
      <c r="E190">
        <v>454.25</v>
      </c>
      <c r="F190">
        <v>1082.75</v>
      </c>
      <c r="G190">
        <v>310</v>
      </c>
      <c r="H190">
        <v>54.41</v>
      </c>
      <c r="I190">
        <v>4146</v>
      </c>
      <c r="J190">
        <v>8980</v>
      </c>
      <c r="K190">
        <v>2910</v>
      </c>
      <c r="L190">
        <v>8092</v>
      </c>
      <c r="M190">
        <v>2223</v>
      </c>
      <c r="N190">
        <v>9152</v>
      </c>
      <c r="O190">
        <v>464</v>
      </c>
      <c r="P190">
        <v>664</v>
      </c>
      <c r="Q190">
        <v>1.6575</v>
      </c>
      <c r="R190">
        <v>2.2107000000000001</v>
      </c>
      <c r="S190">
        <v>624.75</v>
      </c>
      <c r="T190">
        <v>60.5</v>
      </c>
      <c r="U190">
        <v>64.2</v>
      </c>
      <c r="V190">
        <v>1.7939000000000001</v>
      </c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</row>
    <row r="191" spans="1:77" x14ac:dyDescent="0.25">
      <c r="A191" s="2">
        <v>46048</v>
      </c>
      <c r="B191">
        <v>579.25</v>
      </c>
      <c r="C191">
        <v>589.5</v>
      </c>
      <c r="D191">
        <v>6.2874999999999996</v>
      </c>
      <c r="E191">
        <v>455</v>
      </c>
      <c r="F191">
        <v>1079</v>
      </c>
      <c r="G191">
        <v>309.5</v>
      </c>
      <c r="H191">
        <v>53.98</v>
      </c>
      <c r="I191">
        <v>4120</v>
      </c>
      <c r="J191">
        <v>8904</v>
      </c>
      <c r="K191">
        <v>2913</v>
      </c>
      <c r="L191">
        <v>8056</v>
      </c>
      <c r="M191">
        <v>2226</v>
      </c>
      <c r="N191">
        <v>9074</v>
      </c>
      <c r="O191">
        <v>464</v>
      </c>
      <c r="P191">
        <v>662.3</v>
      </c>
      <c r="Q191">
        <v>1.6825000000000001</v>
      </c>
      <c r="R191">
        <v>2.1848000000000001</v>
      </c>
      <c r="S191">
        <v>619.25</v>
      </c>
      <c r="T191">
        <v>59.58</v>
      </c>
      <c r="U191">
        <v>63.28</v>
      </c>
      <c r="V191">
        <v>1.7638</v>
      </c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</row>
    <row r="192" spans="1:77" x14ac:dyDescent="0.25">
      <c r="A192" s="2">
        <v>46045</v>
      </c>
      <c r="B192">
        <v>584.25</v>
      </c>
      <c r="C192">
        <v>598.5</v>
      </c>
      <c r="D192">
        <v>6.3475000000000001</v>
      </c>
      <c r="E192">
        <v>455.25</v>
      </c>
      <c r="F192">
        <v>1082</v>
      </c>
      <c r="G192">
        <v>312.5</v>
      </c>
      <c r="H192">
        <v>53.95</v>
      </c>
      <c r="I192">
        <v>4120</v>
      </c>
      <c r="J192">
        <v>8818</v>
      </c>
      <c r="K192">
        <v>2905</v>
      </c>
      <c r="L192">
        <v>7976</v>
      </c>
      <c r="M192">
        <v>2217</v>
      </c>
      <c r="N192">
        <v>8942</v>
      </c>
      <c r="O192">
        <v>467.25</v>
      </c>
      <c r="P192">
        <v>669.5</v>
      </c>
      <c r="Q192">
        <v>1.655</v>
      </c>
      <c r="R192">
        <v>2.1892999999999998</v>
      </c>
      <c r="S192">
        <v>621.75</v>
      </c>
      <c r="T192">
        <v>59.62</v>
      </c>
      <c r="U192">
        <v>63.29</v>
      </c>
      <c r="V192">
        <v>1.7706</v>
      </c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</row>
    <row r="193" spans="1:77" x14ac:dyDescent="0.25">
      <c r="A193" s="2">
        <v>46044</v>
      </c>
      <c r="B193">
        <v>573.25</v>
      </c>
      <c r="C193">
        <v>584</v>
      </c>
      <c r="D193">
        <v>6.3174999999999999</v>
      </c>
      <c r="E193">
        <v>451.75</v>
      </c>
      <c r="F193">
        <v>1077.25</v>
      </c>
      <c r="G193">
        <v>310.39999999999998</v>
      </c>
      <c r="H193">
        <v>53.81</v>
      </c>
      <c r="I193">
        <v>4153</v>
      </c>
      <c r="J193">
        <v>8810</v>
      </c>
      <c r="K193">
        <v>2900</v>
      </c>
      <c r="L193">
        <v>7958</v>
      </c>
      <c r="M193">
        <v>2212</v>
      </c>
      <c r="N193">
        <v>8931</v>
      </c>
      <c r="O193">
        <v>463.75</v>
      </c>
      <c r="P193">
        <v>661.5</v>
      </c>
      <c r="Q193">
        <v>1.6425000000000001</v>
      </c>
      <c r="R193">
        <v>2.1642000000000001</v>
      </c>
      <c r="S193">
        <v>616.75</v>
      </c>
      <c r="T193">
        <v>58.57</v>
      </c>
      <c r="U193">
        <v>62.24</v>
      </c>
      <c r="V193">
        <v>1.7445999999999999</v>
      </c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</row>
    <row r="194" spans="1:77" x14ac:dyDescent="0.25">
      <c r="A194" s="2">
        <v>46043</v>
      </c>
      <c r="B194">
        <v>565.75</v>
      </c>
      <c r="C194">
        <v>578.75</v>
      </c>
      <c r="D194">
        <v>6.2324999999999999</v>
      </c>
      <c r="E194">
        <v>449.75</v>
      </c>
      <c r="F194">
        <v>1074.5</v>
      </c>
      <c r="G194">
        <v>307.89999999999998</v>
      </c>
      <c r="H194">
        <v>53.95</v>
      </c>
      <c r="I194">
        <v>4128</v>
      </c>
      <c r="J194">
        <v>8708</v>
      </c>
      <c r="K194">
        <v>2901</v>
      </c>
      <c r="L194">
        <v>7910</v>
      </c>
      <c r="M194">
        <v>2211</v>
      </c>
      <c r="N194">
        <v>8881</v>
      </c>
      <c r="O194">
        <v>464.75</v>
      </c>
      <c r="P194">
        <v>664.3</v>
      </c>
      <c r="Q194">
        <v>1.635</v>
      </c>
      <c r="R194">
        <v>2.1926999999999999</v>
      </c>
      <c r="S194">
        <v>623.25</v>
      </c>
      <c r="T194">
        <v>59.43</v>
      </c>
      <c r="U194">
        <v>63.12</v>
      </c>
      <c r="V194">
        <v>1.7737000000000001</v>
      </c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</row>
    <row r="195" spans="1:77" x14ac:dyDescent="0.25">
      <c r="A195" s="2">
        <v>46042</v>
      </c>
      <c r="B195">
        <v>568.25</v>
      </c>
      <c r="C195">
        <v>582.75</v>
      </c>
      <c r="D195">
        <v>6.22</v>
      </c>
      <c r="E195">
        <v>450.5</v>
      </c>
      <c r="F195">
        <v>1064</v>
      </c>
      <c r="G195">
        <v>309.10000000000002</v>
      </c>
      <c r="H195">
        <v>52.65</v>
      </c>
      <c r="I195">
        <v>4076</v>
      </c>
      <c r="J195">
        <v>8638</v>
      </c>
      <c r="K195">
        <v>2900</v>
      </c>
      <c r="L195">
        <v>7882</v>
      </c>
      <c r="M195">
        <v>2213</v>
      </c>
      <c r="N195">
        <v>8858</v>
      </c>
      <c r="O195">
        <v>460.75</v>
      </c>
      <c r="P195">
        <v>656.8</v>
      </c>
      <c r="Q195">
        <v>1.6425000000000001</v>
      </c>
      <c r="R195">
        <v>2.1718000000000002</v>
      </c>
      <c r="S195">
        <v>617</v>
      </c>
      <c r="T195">
        <v>59.03</v>
      </c>
      <c r="U195">
        <v>62.69</v>
      </c>
      <c r="V195">
        <v>1.7533000000000001</v>
      </c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</row>
    <row r="196" spans="1:77" x14ac:dyDescent="0.25">
      <c r="A196" s="2">
        <v>46041</v>
      </c>
      <c r="I196">
        <v>4057</v>
      </c>
      <c r="J196">
        <v>8634</v>
      </c>
      <c r="K196">
        <v>2898</v>
      </c>
      <c r="L196">
        <v>7862</v>
      </c>
      <c r="M196">
        <v>2225</v>
      </c>
      <c r="N196">
        <v>8868</v>
      </c>
      <c r="O196">
        <v>457.25</v>
      </c>
      <c r="P196">
        <v>655.5</v>
      </c>
      <c r="S196">
        <v>610.25</v>
      </c>
      <c r="U196">
        <v>61.8</v>
      </c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</row>
    <row r="197" spans="1:77" x14ac:dyDescent="0.25">
      <c r="A197" s="2">
        <v>46038</v>
      </c>
      <c r="B197">
        <v>573.75</v>
      </c>
      <c r="C197">
        <v>585.5</v>
      </c>
      <c r="D197">
        <v>6.2374999999999998</v>
      </c>
      <c r="E197">
        <v>449.75</v>
      </c>
      <c r="F197">
        <v>1069</v>
      </c>
      <c r="G197">
        <v>309.2</v>
      </c>
      <c r="H197">
        <v>52.7</v>
      </c>
      <c r="I197">
        <v>4059</v>
      </c>
      <c r="O197">
        <v>457.75</v>
      </c>
      <c r="P197">
        <v>654.1</v>
      </c>
      <c r="Q197">
        <v>1.6274999999999999</v>
      </c>
      <c r="R197">
        <v>2.1381999999999999</v>
      </c>
      <c r="S197">
        <v>614.5</v>
      </c>
      <c r="T197">
        <v>58.37</v>
      </c>
      <c r="U197">
        <v>62.05</v>
      </c>
      <c r="V197">
        <v>1.7319</v>
      </c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</row>
    <row r="198" spans="1:77" x14ac:dyDescent="0.25">
      <c r="A198" s="2">
        <v>46037</v>
      </c>
      <c r="B198">
        <v>567</v>
      </c>
      <c r="C198">
        <v>576.75</v>
      </c>
      <c r="D198">
        <v>6.2175000000000002</v>
      </c>
      <c r="E198">
        <v>446.75</v>
      </c>
      <c r="F198">
        <v>1064.25</v>
      </c>
      <c r="G198">
        <v>306.8</v>
      </c>
      <c r="H198">
        <v>52.88</v>
      </c>
      <c r="I198">
        <v>3971</v>
      </c>
      <c r="O198">
        <v>457</v>
      </c>
      <c r="P198">
        <v>650.4</v>
      </c>
      <c r="Q198">
        <v>1.615</v>
      </c>
      <c r="R198">
        <v>2.1295999999999999</v>
      </c>
      <c r="S198">
        <v>608</v>
      </c>
      <c r="T198">
        <v>58.16</v>
      </c>
      <c r="U198">
        <v>61.83</v>
      </c>
      <c r="V198">
        <v>1.7246999999999999</v>
      </c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</row>
    <row r="199" spans="1:77" x14ac:dyDescent="0.25">
      <c r="A199" s="2">
        <v>46036</v>
      </c>
      <c r="B199">
        <v>569.25</v>
      </c>
      <c r="C199">
        <v>581</v>
      </c>
      <c r="D199">
        <v>6.26</v>
      </c>
      <c r="E199">
        <v>447.75</v>
      </c>
      <c r="F199">
        <v>1058</v>
      </c>
      <c r="G199">
        <v>309.7</v>
      </c>
      <c r="H199">
        <v>51.29</v>
      </c>
      <c r="I199">
        <v>4052</v>
      </c>
      <c r="O199">
        <v>456.75</v>
      </c>
      <c r="P199">
        <v>646.6</v>
      </c>
      <c r="Q199">
        <v>1.615</v>
      </c>
      <c r="R199">
        <v>2.19</v>
      </c>
      <c r="S199">
        <v>622.25</v>
      </c>
      <c r="T199">
        <v>60.14</v>
      </c>
      <c r="U199">
        <v>63.82</v>
      </c>
      <c r="V199">
        <v>1.7729999999999999</v>
      </c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</row>
    <row r="200" spans="1:77" x14ac:dyDescent="0.25">
      <c r="A200" s="2">
        <v>46035</v>
      </c>
      <c r="B200">
        <v>568</v>
      </c>
      <c r="C200">
        <v>579.5</v>
      </c>
      <c r="D200">
        <v>6.24</v>
      </c>
      <c r="E200">
        <v>445.75</v>
      </c>
      <c r="F200">
        <v>1058.25</v>
      </c>
      <c r="G200">
        <v>308.89999999999998</v>
      </c>
      <c r="H200">
        <v>51.4</v>
      </c>
      <c r="I200">
        <v>4058</v>
      </c>
      <c r="O200">
        <v>459.25</v>
      </c>
      <c r="P200">
        <v>650.70000000000005</v>
      </c>
      <c r="Q200">
        <v>1.6174999999999999</v>
      </c>
      <c r="R200">
        <v>2.157</v>
      </c>
      <c r="S200">
        <v>616.75</v>
      </c>
      <c r="T200">
        <v>59.4</v>
      </c>
      <c r="U200">
        <v>63</v>
      </c>
      <c r="V200">
        <v>1.7529999999999999</v>
      </c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</row>
    <row r="201" spans="1:77" x14ac:dyDescent="0.25">
      <c r="A201" s="2">
        <v>46034</v>
      </c>
      <c r="B201">
        <v>568.75</v>
      </c>
      <c r="C201">
        <v>586</v>
      </c>
      <c r="D201">
        <v>6.2549999999999999</v>
      </c>
      <c r="E201">
        <v>451.5</v>
      </c>
      <c r="F201">
        <v>1067</v>
      </c>
      <c r="G201">
        <v>314.3</v>
      </c>
      <c r="H201">
        <v>50.51</v>
      </c>
      <c r="I201">
        <v>4086</v>
      </c>
      <c r="O201">
        <v>454.5</v>
      </c>
      <c r="P201">
        <v>642</v>
      </c>
      <c r="Q201">
        <v>1.6325000000000001</v>
      </c>
      <c r="R201">
        <v>2.1118000000000001</v>
      </c>
      <c r="S201">
        <v>601</v>
      </c>
      <c r="T201">
        <v>58.4</v>
      </c>
      <c r="U201">
        <v>62.01</v>
      </c>
      <c r="V201">
        <v>1.7218</v>
      </c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</row>
    <row r="202" spans="1:77" x14ac:dyDescent="0.25">
      <c r="A202" s="2">
        <v>46031</v>
      </c>
      <c r="B202">
        <v>572.75</v>
      </c>
      <c r="C202">
        <v>590.75</v>
      </c>
      <c r="D202">
        <v>6.25</v>
      </c>
      <c r="E202">
        <v>464</v>
      </c>
      <c r="F202">
        <v>1071.75</v>
      </c>
      <c r="G202">
        <v>318.8</v>
      </c>
      <c r="H202">
        <v>50.08</v>
      </c>
      <c r="I202">
        <v>4026</v>
      </c>
      <c r="O202">
        <v>457.75</v>
      </c>
      <c r="P202">
        <v>642.9</v>
      </c>
      <c r="Q202">
        <v>1.6725000000000001</v>
      </c>
      <c r="R202">
        <v>2.0977999999999999</v>
      </c>
      <c r="S202">
        <v>605.75</v>
      </c>
      <c r="T202">
        <v>58.09</v>
      </c>
      <c r="U202">
        <v>61.7</v>
      </c>
      <c r="V202">
        <v>1.7124999999999999</v>
      </c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</row>
    <row r="203" spans="1:77" x14ac:dyDescent="0.25">
      <c r="A203" s="2">
        <v>46030</v>
      </c>
      <c r="B203">
        <v>573.25</v>
      </c>
      <c r="C203">
        <v>591.25</v>
      </c>
      <c r="D203">
        <v>6.2949999999999999</v>
      </c>
      <c r="E203">
        <v>464.5</v>
      </c>
      <c r="F203">
        <v>1073</v>
      </c>
      <c r="G203">
        <v>317.2</v>
      </c>
      <c r="H203">
        <v>49.91</v>
      </c>
      <c r="I203">
        <v>4023</v>
      </c>
      <c r="O203">
        <v>455</v>
      </c>
      <c r="P203">
        <v>646.70000000000005</v>
      </c>
      <c r="Q203">
        <v>1.66</v>
      </c>
      <c r="R203">
        <v>2.0808</v>
      </c>
      <c r="S203">
        <v>588.5</v>
      </c>
      <c r="T203">
        <v>57.27</v>
      </c>
      <c r="U203">
        <v>60.84</v>
      </c>
      <c r="V203">
        <v>1.6910000000000001</v>
      </c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</row>
    <row r="204" spans="1:77" x14ac:dyDescent="0.25">
      <c r="A204" s="2">
        <v>46029</v>
      </c>
      <c r="B204">
        <v>571.75</v>
      </c>
      <c r="C204">
        <v>590.75</v>
      </c>
      <c r="D204">
        <v>6.2874999999999996</v>
      </c>
      <c r="E204">
        <v>463.75</v>
      </c>
      <c r="F204">
        <v>1075.25</v>
      </c>
      <c r="G204">
        <v>319.8</v>
      </c>
      <c r="H204">
        <v>49.79</v>
      </c>
      <c r="I204">
        <v>4006</v>
      </c>
      <c r="O204">
        <v>453.75</v>
      </c>
      <c r="P204">
        <v>640.4</v>
      </c>
      <c r="Q204">
        <v>1.655</v>
      </c>
      <c r="R204">
        <v>2.0352000000000001</v>
      </c>
      <c r="S204">
        <v>584</v>
      </c>
      <c r="T204">
        <v>55.85</v>
      </c>
      <c r="U204">
        <v>59.38</v>
      </c>
      <c r="V204">
        <v>1.6474</v>
      </c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</row>
    <row r="205" spans="1:77" x14ac:dyDescent="0.25">
      <c r="A205" s="2">
        <v>46028</v>
      </c>
      <c r="B205">
        <v>565.75</v>
      </c>
      <c r="C205">
        <v>580.25</v>
      </c>
      <c r="D205">
        <v>6.2525000000000004</v>
      </c>
      <c r="E205">
        <v>461.75</v>
      </c>
      <c r="F205">
        <v>1067.75</v>
      </c>
      <c r="G205">
        <v>315.60000000000002</v>
      </c>
      <c r="H205">
        <v>49.87</v>
      </c>
      <c r="I205">
        <v>3968</v>
      </c>
      <c r="O205">
        <v>454.25</v>
      </c>
      <c r="P205">
        <v>635.6</v>
      </c>
      <c r="Q205">
        <v>1.665</v>
      </c>
      <c r="R205">
        <v>2.0527000000000002</v>
      </c>
      <c r="S205">
        <v>590.75</v>
      </c>
      <c r="T205">
        <v>56.56</v>
      </c>
      <c r="U205">
        <v>59.96</v>
      </c>
      <c r="V205">
        <v>1.6557999999999999</v>
      </c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</row>
    <row r="206" spans="1:77" x14ac:dyDescent="0.25">
      <c r="A206" s="2">
        <v>46027</v>
      </c>
      <c r="B206">
        <v>568.25</v>
      </c>
      <c r="C206">
        <v>581.25</v>
      </c>
      <c r="D206">
        <v>6.2850000000000001</v>
      </c>
      <c r="E206">
        <v>463.25</v>
      </c>
      <c r="F206">
        <v>1075.5</v>
      </c>
      <c r="G206">
        <v>316.7</v>
      </c>
      <c r="H206">
        <v>50.3</v>
      </c>
      <c r="I206">
        <v>4008</v>
      </c>
      <c r="O206">
        <v>449.25</v>
      </c>
      <c r="P206">
        <v>637.70000000000005</v>
      </c>
      <c r="Q206">
        <v>1.6825000000000001</v>
      </c>
      <c r="R206">
        <v>2.0830000000000002</v>
      </c>
      <c r="S206">
        <v>592.75</v>
      </c>
      <c r="T206">
        <v>57.51</v>
      </c>
      <c r="U206">
        <v>60.78</v>
      </c>
      <c r="V206">
        <v>1.6767000000000001</v>
      </c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</row>
    <row r="207" spans="1:77" x14ac:dyDescent="0.25">
      <c r="A207" s="2">
        <v>46024</v>
      </c>
      <c r="B207">
        <v>564.75</v>
      </c>
      <c r="C207">
        <v>577.25</v>
      </c>
      <c r="D207">
        <v>6.3049999999999997</v>
      </c>
      <c r="E207">
        <v>458.5</v>
      </c>
      <c r="F207">
        <v>1062.75</v>
      </c>
      <c r="G207">
        <v>313.7</v>
      </c>
      <c r="H207">
        <v>49.71</v>
      </c>
      <c r="I207">
        <v>3973</v>
      </c>
      <c r="O207">
        <v>440</v>
      </c>
      <c r="P207">
        <v>634.1</v>
      </c>
      <c r="Q207">
        <v>1.6675</v>
      </c>
      <c r="R207">
        <v>2.0596000000000001</v>
      </c>
      <c r="S207">
        <v>585</v>
      </c>
      <c r="T207">
        <v>57.01</v>
      </c>
      <c r="U207">
        <v>60.36</v>
      </c>
      <c r="V207">
        <v>1.6579999999999999</v>
      </c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</row>
    <row r="208" spans="1:77" x14ac:dyDescent="0.25">
      <c r="A208" s="2">
        <v>46022</v>
      </c>
      <c r="B208">
        <v>564.75</v>
      </c>
      <c r="C208">
        <v>576.75</v>
      </c>
      <c r="D208">
        <v>6.3324999999999996</v>
      </c>
      <c r="E208">
        <v>460.5</v>
      </c>
      <c r="F208">
        <v>1064.5</v>
      </c>
      <c r="G208">
        <v>316.89999999999998</v>
      </c>
      <c r="H208">
        <v>49.06</v>
      </c>
      <c r="I208">
        <v>4018</v>
      </c>
      <c r="O208">
        <v>446.5</v>
      </c>
      <c r="P208">
        <v>632</v>
      </c>
      <c r="Q208">
        <v>1.67</v>
      </c>
      <c r="R208">
        <v>2.0575999999999999</v>
      </c>
      <c r="S208">
        <v>595.25</v>
      </c>
      <c r="T208">
        <v>56.92</v>
      </c>
      <c r="U208">
        <v>60.23</v>
      </c>
      <c r="V208">
        <v>1.6560999999999999</v>
      </c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</row>
    <row r="209" spans="1:77" x14ac:dyDescent="0.25">
      <c r="A209" s="2">
        <v>46021</v>
      </c>
      <c r="B209">
        <v>567.5</v>
      </c>
      <c r="C209">
        <v>583.25</v>
      </c>
      <c r="D209">
        <v>6.375</v>
      </c>
      <c r="E209">
        <v>461</v>
      </c>
      <c r="F209">
        <v>1074.25</v>
      </c>
      <c r="G209">
        <v>318.3</v>
      </c>
      <c r="H209">
        <v>49.83</v>
      </c>
      <c r="I209">
        <v>4025</v>
      </c>
      <c r="O209">
        <v>446</v>
      </c>
      <c r="P209">
        <v>637.5</v>
      </c>
      <c r="Q209">
        <v>1.6775</v>
      </c>
      <c r="R209">
        <v>2.0750999999999999</v>
      </c>
      <c r="S209">
        <v>595.5</v>
      </c>
      <c r="T209">
        <v>57.42</v>
      </c>
      <c r="U209">
        <v>60.78</v>
      </c>
      <c r="V209">
        <v>1.6707000000000001</v>
      </c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</row>
    <row r="210" spans="1:77" x14ac:dyDescent="0.25">
      <c r="A210" s="2">
        <v>46020</v>
      </c>
      <c r="B210">
        <v>570.25</v>
      </c>
      <c r="C210">
        <v>588</v>
      </c>
      <c r="D210">
        <v>6.3775000000000004</v>
      </c>
      <c r="E210">
        <v>463</v>
      </c>
      <c r="F210">
        <v>1075.75</v>
      </c>
      <c r="G210">
        <v>318.10000000000002</v>
      </c>
      <c r="H210">
        <v>49.74</v>
      </c>
      <c r="I210">
        <v>3995</v>
      </c>
      <c r="O210">
        <v>445</v>
      </c>
      <c r="P210">
        <v>631.9</v>
      </c>
      <c r="Q210">
        <v>1.6725000000000001</v>
      </c>
      <c r="R210">
        <v>2.0706000000000002</v>
      </c>
      <c r="S210">
        <v>595</v>
      </c>
      <c r="T210">
        <v>57.49</v>
      </c>
      <c r="U210">
        <v>60.9</v>
      </c>
      <c r="V210">
        <v>1.6707000000000001</v>
      </c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</row>
    <row r="211" spans="1:77" x14ac:dyDescent="0.25">
      <c r="A211" s="2">
        <v>46017</v>
      </c>
      <c r="B211">
        <v>574.5</v>
      </c>
      <c r="C211">
        <v>593</v>
      </c>
      <c r="D211">
        <v>6.37</v>
      </c>
      <c r="E211">
        <v>468.5</v>
      </c>
      <c r="F211">
        <v>1082.25</v>
      </c>
      <c r="G211">
        <v>321.3</v>
      </c>
      <c r="H211">
        <v>49.65</v>
      </c>
      <c r="I211">
        <v>4020</v>
      </c>
      <c r="Q211">
        <v>1.6875</v>
      </c>
      <c r="R211">
        <v>2.0470000000000002</v>
      </c>
      <c r="S211">
        <v>592.25</v>
      </c>
      <c r="T211">
        <v>56.58</v>
      </c>
      <c r="U211">
        <v>60.02</v>
      </c>
      <c r="V211">
        <v>1.6485000000000001</v>
      </c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</row>
    <row r="212" spans="1:77" x14ac:dyDescent="0.25">
      <c r="A212" s="2">
        <v>46015</v>
      </c>
      <c r="B212">
        <v>575.5</v>
      </c>
      <c r="C212">
        <v>592.75</v>
      </c>
      <c r="D212">
        <v>6.375</v>
      </c>
      <c r="E212">
        <v>467.75</v>
      </c>
      <c r="F212">
        <v>1084</v>
      </c>
      <c r="G212">
        <v>321.3</v>
      </c>
      <c r="H212">
        <v>49.85</v>
      </c>
      <c r="I212">
        <v>3995</v>
      </c>
      <c r="O212">
        <v>445.5</v>
      </c>
      <c r="P212">
        <v>640.20000000000005</v>
      </c>
      <c r="Q212">
        <v>1.6875</v>
      </c>
      <c r="R212">
        <v>2.0794999999999999</v>
      </c>
      <c r="S212">
        <v>603</v>
      </c>
      <c r="T212">
        <v>57.8</v>
      </c>
      <c r="U212">
        <v>61.27</v>
      </c>
      <c r="V212">
        <v>1.6839</v>
      </c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</row>
    <row r="213" spans="1:77" x14ac:dyDescent="0.25">
      <c r="A213" s="2">
        <v>46014</v>
      </c>
      <c r="B213">
        <v>570</v>
      </c>
      <c r="C213">
        <v>587</v>
      </c>
      <c r="D213">
        <v>6.3650000000000002</v>
      </c>
      <c r="E213">
        <v>465</v>
      </c>
      <c r="F213">
        <v>1073</v>
      </c>
      <c r="G213">
        <v>318.2</v>
      </c>
      <c r="H213">
        <v>49.22</v>
      </c>
      <c r="I213">
        <v>4004</v>
      </c>
      <c r="O213">
        <v>448.25</v>
      </c>
      <c r="P213">
        <v>632.29999999999995</v>
      </c>
      <c r="Q213">
        <v>1.6625000000000001</v>
      </c>
      <c r="R213">
        <v>2.0920999999999998</v>
      </c>
      <c r="S213">
        <v>598.5</v>
      </c>
      <c r="T213">
        <v>57.7</v>
      </c>
      <c r="U213">
        <v>61.15</v>
      </c>
      <c r="V213">
        <v>1.68</v>
      </c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</row>
    <row r="214" spans="1:77" x14ac:dyDescent="0.25">
      <c r="A214" s="2">
        <v>46013</v>
      </c>
      <c r="B214">
        <v>568.5</v>
      </c>
      <c r="C214">
        <v>581.25</v>
      </c>
      <c r="D214">
        <v>6.375</v>
      </c>
      <c r="E214">
        <v>464.5</v>
      </c>
      <c r="F214">
        <v>1072.25</v>
      </c>
      <c r="G214">
        <v>317</v>
      </c>
      <c r="H214">
        <v>49.57</v>
      </c>
      <c r="I214">
        <v>3989</v>
      </c>
      <c r="O214">
        <v>451</v>
      </c>
      <c r="P214">
        <v>639.20000000000005</v>
      </c>
      <c r="Q214">
        <v>1.665</v>
      </c>
      <c r="R214">
        <v>2.0792000000000002</v>
      </c>
      <c r="S214">
        <v>594.25</v>
      </c>
      <c r="T214">
        <v>57.5</v>
      </c>
      <c r="U214">
        <v>60.97</v>
      </c>
      <c r="V214">
        <v>1.6739999999999999</v>
      </c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</row>
    <row r="215" spans="1:77" x14ac:dyDescent="0.25">
      <c r="A215" s="2">
        <v>46010</v>
      </c>
      <c r="B215">
        <v>563</v>
      </c>
      <c r="C215">
        <v>575</v>
      </c>
      <c r="D215">
        <v>6.3475000000000001</v>
      </c>
      <c r="E215">
        <v>462</v>
      </c>
      <c r="F215">
        <v>1067.75</v>
      </c>
      <c r="G215">
        <v>316.10000000000002</v>
      </c>
      <c r="H215">
        <v>48.94</v>
      </c>
      <c r="I215">
        <v>3911</v>
      </c>
      <c r="O215">
        <v>448</v>
      </c>
      <c r="P215">
        <v>624.79999999999995</v>
      </c>
      <c r="Q215">
        <v>1.6675</v>
      </c>
      <c r="R215">
        <v>2.0491000000000001</v>
      </c>
      <c r="S215">
        <v>586.75</v>
      </c>
      <c r="T215">
        <v>56.44</v>
      </c>
      <c r="U215">
        <v>59.94</v>
      </c>
      <c r="V215">
        <v>1.6455</v>
      </c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</row>
    <row r="216" spans="1:77" x14ac:dyDescent="0.25">
      <c r="A216" s="2">
        <v>46009</v>
      </c>
      <c r="B216">
        <v>562</v>
      </c>
      <c r="C216">
        <v>576.25</v>
      </c>
      <c r="D216">
        <v>6.2975000000000003</v>
      </c>
      <c r="E216">
        <v>462.25</v>
      </c>
      <c r="F216">
        <v>1071</v>
      </c>
      <c r="G216">
        <v>317.10000000000002</v>
      </c>
      <c r="H216">
        <v>48.99</v>
      </c>
      <c r="I216">
        <v>3977</v>
      </c>
      <c r="O216">
        <v>454</v>
      </c>
      <c r="P216">
        <v>629.79999999999995</v>
      </c>
      <c r="Q216">
        <v>1.6850000000000001</v>
      </c>
      <c r="R216">
        <v>2.0508000000000002</v>
      </c>
      <c r="S216">
        <v>588.25</v>
      </c>
      <c r="T216">
        <v>56.17</v>
      </c>
      <c r="U216">
        <v>59.65</v>
      </c>
      <c r="V216">
        <v>1.6331</v>
      </c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</row>
    <row r="217" spans="1:77" x14ac:dyDescent="0.25">
      <c r="A217" s="2">
        <v>46008</v>
      </c>
      <c r="B217">
        <v>559.5</v>
      </c>
      <c r="C217">
        <v>568.5</v>
      </c>
      <c r="D217">
        <v>6.2125000000000004</v>
      </c>
      <c r="E217">
        <v>460.5</v>
      </c>
      <c r="F217">
        <v>1075</v>
      </c>
      <c r="G217">
        <v>316.10000000000002</v>
      </c>
      <c r="H217">
        <v>49.43</v>
      </c>
      <c r="I217">
        <v>3965</v>
      </c>
      <c r="O217">
        <v>455</v>
      </c>
      <c r="P217">
        <v>635.6</v>
      </c>
      <c r="Q217">
        <v>1.68</v>
      </c>
      <c r="R217">
        <v>2.0491000000000001</v>
      </c>
      <c r="S217">
        <v>588.25</v>
      </c>
      <c r="T217">
        <v>56.15</v>
      </c>
      <c r="U217">
        <v>59.66</v>
      </c>
      <c r="V217">
        <v>1.6296999999999999</v>
      </c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</row>
    <row r="218" spans="1:77" x14ac:dyDescent="0.25">
      <c r="A218" s="2">
        <v>46007</v>
      </c>
      <c r="B218">
        <v>560</v>
      </c>
      <c r="C218">
        <v>566.25</v>
      </c>
      <c r="D218">
        <v>6.2450000000000001</v>
      </c>
      <c r="E218">
        <v>459.5</v>
      </c>
      <c r="F218">
        <v>1080.25</v>
      </c>
      <c r="G218">
        <v>321.2</v>
      </c>
      <c r="H218">
        <v>49.35</v>
      </c>
      <c r="I218">
        <v>3953</v>
      </c>
      <c r="O218">
        <v>455.75</v>
      </c>
      <c r="P218">
        <v>637.79999999999995</v>
      </c>
      <c r="Q218">
        <v>1.67</v>
      </c>
      <c r="R218">
        <v>2.044</v>
      </c>
      <c r="S218">
        <v>585.25</v>
      </c>
      <c r="T218">
        <v>55.76</v>
      </c>
      <c r="U218">
        <v>59.29</v>
      </c>
      <c r="V218">
        <v>1.6265000000000001</v>
      </c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</row>
    <row r="219" spans="1:77" x14ac:dyDescent="0.25">
      <c r="A219" s="2">
        <v>46006</v>
      </c>
      <c r="B219">
        <v>567.75</v>
      </c>
      <c r="C219">
        <v>572</v>
      </c>
      <c r="D219">
        <v>6.2575000000000003</v>
      </c>
      <c r="E219">
        <v>461</v>
      </c>
      <c r="F219">
        <v>1088.5</v>
      </c>
      <c r="G219">
        <v>321.3</v>
      </c>
      <c r="H219">
        <v>50.15</v>
      </c>
      <c r="I219">
        <v>3960</v>
      </c>
      <c r="O219">
        <v>458</v>
      </c>
      <c r="P219">
        <v>640.4</v>
      </c>
      <c r="Q219">
        <v>1.675</v>
      </c>
      <c r="R219">
        <v>2.0836999999999999</v>
      </c>
      <c r="S219">
        <v>594.25</v>
      </c>
      <c r="T219">
        <v>57.09</v>
      </c>
      <c r="U219">
        <v>60.64</v>
      </c>
      <c r="V219">
        <v>1.6654</v>
      </c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</row>
    <row r="220" spans="1:77" x14ac:dyDescent="0.25">
      <c r="A220" s="2">
        <v>46003</v>
      </c>
      <c r="B220">
        <v>574</v>
      </c>
      <c r="C220">
        <v>577.75</v>
      </c>
      <c r="D220">
        <v>6.3150000000000004</v>
      </c>
      <c r="E220">
        <v>462</v>
      </c>
      <c r="F220">
        <v>1088.25</v>
      </c>
      <c r="G220">
        <v>320.5</v>
      </c>
      <c r="H220">
        <v>50.6</v>
      </c>
      <c r="O220">
        <v>460.25</v>
      </c>
      <c r="P220">
        <v>641.79999999999995</v>
      </c>
      <c r="Q220">
        <v>1.69</v>
      </c>
      <c r="R220">
        <v>2.0880000000000001</v>
      </c>
      <c r="S220">
        <v>597.5</v>
      </c>
      <c r="T220">
        <v>57.16</v>
      </c>
      <c r="U220">
        <v>60.68</v>
      </c>
      <c r="V220">
        <v>1.669</v>
      </c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</row>
    <row r="221" spans="1:77" x14ac:dyDescent="0.25">
      <c r="A221" s="2">
        <v>46002</v>
      </c>
      <c r="B221">
        <v>577</v>
      </c>
      <c r="C221">
        <v>581</v>
      </c>
      <c r="D221">
        <v>6.3224999999999998</v>
      </c>
      <c r="E221">
        <v>465</v>
      </c>
      <c r="F221">
        <v>1098.25</v>
      </c>
      <c r="G221">
        <v>323.2</v>
      </c>
      <c r="H221">
        <v>51.19</v>
      </c>
      <c r="O221">
        <v>463.75</v>
      </c>
      <c r="P221">
        <v>653.4</v>
      </c>
      <c r="Q221">
        <v>1.6924999999999999</v>
      </c>
      <c r="R221">
        <v>2.1040000000000001</v>
      </c>
      <c r="S221">
        <v>600</v>
      </c>
      <c r="T221">
        <v>57.43</v>
      </c>
      <c r="U221">
        <v>60.97</v>
      </c>
      <c r="V221">
        <v>1.6807000000000001</v>
      </c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</row>
    <row r="222" spans="1:77" x14ac:dyDescent="0.25">
      <c r="A222" s="2">
        <v>46001</v>
      </c>
      <c r="B222">
        <v>574.75</v>
      </c>
      <c r="C222">
        <v>582</v>
      </c>
      <c r="D222">
        <v>6.32</v>
      </c>
      <c r="E222">
        <v>463.75</v>
      </c>
      <c r="F222">
        <v>1095.5</v>
      </c>
      <c r="G222">
        <v>322.89999999999998</v>
      </c>
      <c r="H222">
        <v>51.39</v>
      </c>
      <c r="O222">
        <v>461.5</v>
      </c>
      <c r="P222">
        <v>650.4</v>
      </c>
      <c r="Q222">
        <v>1.6725000000000001</v>
      </c>
      <c r="R222">
        <v>2.1294</v>
      </c>
      <c r="S222">
        <v>607</v>
      </c>
      <c r="T222">
        <v>58.04</v>
      </c>
      <c r="U222">
        <v>61.52</v>
      </c>
      <c r="V222">
        <v>1.7034</v>
      </c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  <c r="BA222" s="24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</row>
    <row r="223" spans="1:77" x14ac:dyDescent="0.25">
      <c r="A223" s="2">
        <v>46000</v>
      </c>
      <c r="B223">
        <v>578</v>
      </c>
      <c r="C223">
        <v>584.5</v>
      </c>
      <c r="D223">
        <v>6.3049999999999997</v>
      </c>
      <c r="E223">
        <v>465.75</v>
      </c>
      <c r="F223">
        <v>1094.75</v>
      </c>
      <c r="G223">
        <v>323.89999999999998</v>
      </c>
      <c r="H223">
        <v>51.28</v>
      </c>
      <c r="O223">
        <v>460</v>
      </c>
      <c r="P223">
        <v>656.9</v>
      </c>
      <c r="Q223">
        <v>1.665</v>
      </c>
      <c r="R223">
        <v>2.1240999999999999</v>
      </c>
      <c r="S223">
        <v>608.5</v>
      </c>
      <c r="T223">
        <v>57.85</v>
      </c>
      <c r="U223">
        <v>61.38</v>
      </c>
      <c r="V223">
        <v>1.6994</v>
      </c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4"/>
      <c r="BA223" s="24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</row>
    <row r="224" spans="1:77" x14ac:dyDescent="0.25">
      <c r="A224" s="2">
        <v>45999</v>
      </c>
      <c r="B224">
        <v>578.25</v>
      </c>
      <c r="C224">
        <v>584.75</v>
      </c>
      <c r="D224">
        <v>6.2824999999999998</v>
      </c>
      <c r="E224">
        <v>464</v>
      </c>
      <c r="F224">
        <v>1101.5</v>
      </c>
      <c r="G224">
        <v>325.2</v>
      </c>
      <c r="H224">
        <v>51.44</v>
      </c>
      <c r="O224">
        <v>464</v>
      </c>
      <c r="P224">
        <v>653.29999999999995</v>
      </c>
      <c r="Q224">
        <v>1.6850000000000001</v>
      </c>
      <c r="R224">
        <v>2.1324999999999998</v>
      </c>
      <c r="S224">
        <v>613</v>
      </c>
      <c r="T224">
        <v>58.07</v>
      </c>
      <c r="U224">
        <v>61.63</v>
      </c>
      <c r="V224">
        <v>1.7024999999999999</v>
      </c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</row>
    <row r="225" spans="1:77" x14ac:dyDescent="0.25">
      <c r="A225" s="2">
        <v>45996</v>
      </c>
      <c r="B225">
        <v>578.75</v>
      </c>
      <c r="C225">
        <v>589</v>
      </c>
      <c r="D225">
        <v>6.3025000000000002</v>
      </c>
      <c r="E225">
        <v>464.25</v>
      </c>
      <c r="F225">
        <v>1104</v>
      </c>
      <c r="G225">
        <v>326</v>
      </c>
      <c r="H225">
        <v>51.91</v>
      </c>
      <c r="O225">
        <v>462.25</v>
      </c>
      <c r="P225">
        <v>657.8</v>
      </c>
      <c r="Q225">
        <v>1.7024999999999999</v>
      </c>
      <c r="R225">
        <v>2.1602000000000001</v>
      </c>
      <c r="S225">
        <v>620</v>
      </c>
      <c r="T225">
        <v>58.95</v>
      </c>
      <c r="U225">
        <v>62.55</v>
      </c>
      <c r="V225">
        <v>1.7317</v>
      </c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</row>
    <row r="226" spans="1:77" x14ac:dyDescent="0.25">
      <c r="A226" s="2">
        <v>45995</v>
      </c>
      <c r="B226">
        <v>583</v>
      </c>
      <c r="C226">
        <v>591.75</v>
      </c>
      <c r="D226">
        <v>6.3075000000000001</v>
      </c>
      <c r="E226">
        <v>464.75</v>
      </c>
      <c r="F226">
        <v>1114.75</v>
      </c>
      <c r="G226">
        <v>329.6</v>
      </c>
      <c r="H226">
        <v>51.99</v>
      </c>
      <c r="O226">
        <v>461.75</v>
      </c>
      <c r="P226">
        <v>663.3</v>
      </c>
      <c r="Q226">
        <v>1.6625000000000001</v>
      </c>
      <c r="R226">
        <v>2.1475</v>
      </c>
      <c r="S226">
        <v>615.75</v>
      </c>
      <c r="T226">
        <v>58.58</v>
      </c>
      <c r="U226">
        <v>62.17</v>
      </c>
      <c r="V226">
        <v>1.7232000000000001</v>
      </c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</row>
    <row r="227" spans="1:77" x14ac:dyDescent="0.25">
      <c r="A227" s="2">
        <v>45994</v>
      </c>
      <c r="B227">
        <v>581.25</v>
      </c>
      <c r="C227">
        <v>587</v>
      </c>
      <c r="D227">
        <v>6.32</v>
      </c>
      <c r="E227">
        <v>463.5</v>
      </c>
      <c r="F227">
        <v>1114</v>
      </c>
      <c r="G227">
        <v>330.3</v>
      </c>
      <c r="H227">
        <v>51.95</v>
      </c>
      <c r="O227">
        <v>464.75</v>
      </c>
      <c r="P227">
        <v>661.4</v>
      </c>
      <c r="Q227">
        <v>1.6675</v>
      </c>
      <c r="R227">
        <v>2.1423999999999999</v>
      </c>
      <c r="S227">
        <v>616</v>
      </c>
      <c r="T227">
        <v>58.18</v>
      </c>
      <c r="U227">
        <v>61.83</v>
      </c>
      <c r="V227">
        <v>1.7171000000000001</v>
      </c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4"/>
      <c r="BA227" s="24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</row>
    <row r="228" spans="1:77" x14ac:dyDescent="0.25">
      <c r="A228" s="2">
        <v>45993</v>
      </c>
      <c r="B228">
        <v>584.5</v>
      </c>
      <c r="C228">
        <v>589.25</v>
      </c>
      <c r="D228">
        <v>6.34</v>
      </c>
      <c r="E228">
        <v>469.25</v>
      </c>
      <c r="F228">
        <v>1123</v>
      </c>
      <c r="G228">
        <v>331.3</v>
      </c>
      <c r="H228">
        <v>52.84</v>
      </c>
      <c r="O228">
        <v>468.75</v>
      </c>
      <c r="P228">
        <v>672.8</v>
      </c>
      <c r="Q228">
        <v>1.675</v>
      </c>
      <c r="R228">
        <v>2.1493000000000002</v>
      </c>
      <c r="S228">
        <v>618</v>
      </c>
      <c r="T228">
        <v>58.11</v>
      </c>
      <c r="U228">
        <v>61.73</v>
      </c>
      <c r="V228">
        <v>1.7189000000000001</v>
      </c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</row>
    <row r="229" spans="1:77" x14ac:dyDescent="0.25">
      <c r="A229" s="2">
        <v>45992</v>
      </c>
      <c r="B229">
        <v>581.25</v>
      </c>
      <c r="C229">
        <v>582.5</v>
      </c>
      <c r="D229">
        <v>6.3075000000000001</v>
      </c>
      <c r="E229">
        <v>467</v>
      </c>
      <c r="F229">
        <v>1125</v>
      </c>
      <c r="G229">
        <v>332.7</v>
      </c>
      <c r="H229">
        <v>52.51</v>
      </c>
      <c r="O229">
        <v>465.75</v>
      </c>
      <c r="P229">
        <v>674.4</v>
      </c>
      <c r="Q229">
        <v>1.68</v>
      </c>
      <c r="R229">
        <v>2.1655000000000002</v>
      </c>
      <c r="S229">
        <v>619.25</v>
      </c>
      <c r="T229">
        <v>58.79</v>
      </c>
      <c r="U229">
        <v>62.39</v>
      </c>
      <c r="V229">
        <v>1.7413000000000001</v>
      </c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4"/>
      <c r="BA229" s="24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</row>
    <row r="230" spans="1:77" x14ac:dyDescent="0.25">
      <c r="A230" s="2">
        <v>45989</v>
      </c>
      <c r="B230">
        <v>584</v>
      </c>
      <c r="C230">
        <v>583.75</v>
      </c>
      <c r="D230">
        <v>6.3125</v>
      </c>
      <c r="E230">
        <v>468.25</v>
      </c>
      <c r="F230">
        <v>1128.5</v>
      </c>
      <c r="G230">
        <v>336.5</v>
      </c>
      <c r="H230">
        <v>52.04</v>
      </c>
      <c r="O230">
        <v>469.75</v>
      </c>
      <c r="P230">
        <v>676.1</v>
      </c>
      <c r="Q230">
        <v>1.6850000000000001</v>
      </c>
      <c r="R230">
        <v>2.1372</v>
      </c>
      <c r="S230">
        <v>619.75</v>
      </c>
      <c r="T230">
        <v>58.05</v>
      </c>
      <c r="U230">
        <v>61.65</v>
      </c>
      <c r="V230">
        <v>1.7145999999999999</v>
      </c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4"/>
      <c r="BA230" s="24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</row>
    <row r="231" spans="1:77" x14ac:dyDescent="0.25">
      <c r="A231" s="2">
        <v>45988</v>
      </c>
      <c r="O231">
        <v>470</v>
      </c>
      <c r="P231">
        <v>677.4</v>
      </c>
      <c r="S231">
        <v>619</v>
      </c>
      <c r="U231">
        <v>62.34</v>
      </c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4"/>
      <c r="BA231" s="24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</row>
    <row r="232" spans="1:77" x14ac:dyDescent="0.25">
      <c r="A232" s="2">
        <v>45987</v>
      </c>
      <c r="B232">
        <v>586.25</v>
      </c>
      <c r="C232">
        <v>586.25</v>
      </c>
      <c r="D232">
        <v>6.3224999999999998</v>
      </c>
      <c r="E232">
        <v>465.25</v>
      </c>
      <c r="F232">
        <v>1122.25</v>
      </c>
      <c r="G232">
        <v>339.9</v>
      </c>
      <c r="H232">
        <v>51.13</v>
      </c>
      <c r="O232">
        <v>467.75</v>
      </c>
      <c r="P232">
        <v>678.1</v>
      </c>
      <c r="Q232">
        <v>1.6850000000000001</v>
      </c>
      <c r="R232">
        <v>2.1448</v>
      </c>
      <c r="S232">
        <v>611.25</v>
      </c>
      <c r="T232">
        <v>58.4</v>
      </c>
      <c r="U232">
        <v>62.04</v>
      </c>
      <c r="V232">
        <v>1.7233000000000001</v>
      </c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24"/>
      <c r="BA232" s="24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</row>
    <row r="233" spans="1:77" x14ac:dyDescent="0.25">
      <c r="A233" s="2">
        <v>45986</v>
      </c>
      <c r="B233">
        <v>583.5</v>
      </c>
      <c r="C233">
        <v>583.25</v>
      </c>
      <c r="D233">
        <v>6.3574999999999999</v>
      </c>
      <c r="E233">
        <v>461.75</v>
      </c>
      <c r="F233">
        <v>1119.25</v>
      </c>
      <c r="G233">
        <v>339.6</v>
      </c>
      <c r="H233">
        <v>50.78</v>
      </c>
      <c r="O233">
        <v>467.25</v>
      </c>
      <c r="P233">
        <v>677.5</v>
      </c>
      <c r="Q233">
        <v>1.6875</v>
      </c>
      <c r="R233">
        <v>2.1364999999999998</v>
      </c>
      <c r="S233">
        <v>608.25</v>
      </c>
      <c r="T233">
        <v>57.86</v>
      </c>
      <c r="U233">
        <v>61.52</v>
      </c>
      <c r="V233">
        <v>1.7050000000000001</v>
      </c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24"/>
      <c r="BA233" s="24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</row>
    <row r="234" spans="1:77" x14ac:dyDescent="0.25">
      <c r="A234" s="2">
        <v>45985</v>
      </c>
      <c r="B234">
        <v>580</v>
      </c>
      <c r="C234">
        <v>579</v>
      </c>
      <c r="D234">
        <v>6.3150000000000004</v>
      </c>
      <c r="E234">
        <v>460</v>
      </c>
      <c r="F234">
        <v>1116.75</v>
      </c>
      <c r="G234">
        <v>337.7</v>
      </c>
      <c r="H234">
        <v>50.78</v>
      </c>
      <c r="O234">
        <v>465</v>
      </c>
      <c r="P234">
        <v>673.9</v>
      </c>
      <c r="Q234">
        <v>1.6850000000000001</v>
      </c>
      <c r="R234">
        <v>2.1541000000000001</v>
      </c>
      <c r="S234">
        <v>615</v>
      </c>
      <c r="T234">
        <v>58.35</v>
      </c>
      <c r="U234">
        <v>62.04</v>
      </c>
      <c r="V234">
        <v>1.7101</v>
      </c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4"/>
      <c r="BA234" s="2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</row>
    <row r="235" spans="1:77" x14ac:dyDescent="0.25">
      <c r="A235" s="2">
        <v>45982</v>
      </c>
      <c r="B235">
        <v>584.5</v>
      </c>
      <c r="C235">
        <v>582.75</v>
      </c>
      <c r="D235">
        <v>6.31</v>
      </c>
      <c r="E235">
        <v>460</v>
      </c>
      <c r="F235">
        <v>1112</v>
      </c>
      <c r="G235">
        <v>336.1</v>
      </c>
      <c r="H235">
        <v>50.76</v>
      </c>
      <c r="O235">
        <v>465.25</v>
      </c>
      <c r="P235">
        <v>671.6</v>
      </c>
      <c r="Q235">
        <v>1.6825000000000001</v>
      </c>
      <c r="R235">
        <v>2.1562000000000001</v>
      </c>
      <c r="S235">
        <v>616.75</v>
      </c>
      <c r="T235">
        <v>57.75</v>
      </c>
      <c r="U235">
        <v>61.44</v>
      </c>
      <c r="V235">
        <v>1.7018</v>
      </c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4"/>
      <c r="BA235" s="24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</row>
    <row r="236" spans="1:77" x14ac:dyDescent="0.25">
      <c r="A236" s="2">
        <v>45981</v>
      </c>
      <c r="B236">
        <v>586</v>
      </c>
      <c r="C236">
        <v>581.5</v>
      </c>
      <c r="D236">
        <v>6.3425000000000002</v>
      </c>
      <c r="E236">
        <v>461</v>
      </c>
      <c r="F236">
        <v>1113.75</v>
      </c>
      <c r="G236">
        <v>335.1</v>
      </c>
      <c r="H236">
        <v>51.12</v>
      </c>
      <c r="O236">
        <v>469</v>
      </c>
      <c r="P236">
        <v>672.5</v>
      </c>
      <c r="Q236">
        <v>1.67</v>
      </c>
      <c r="R236">
        <v>2.1718000000000002</v>
      </c>
      <c r="S236">
        <v>624.5</v>
      </c>
      <c r="T236">
        <v>58.25</v>
      </c>
      <c r="U236">
        <v>61.9</v>
      </c>
      <c r="V236">
        <v>1.7155</v>
      </c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24"/>
      <c r="BA236" s="24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</row>
    <row r="237" spans="1:77" x14ac:dyDescent="0.25">
      <c r="A237" s="2">
        <v>45980</v>
      </c>
      <c r="B237">
        <v>594.5</v>
      </c>
      <c r="C237">
        <v>590.75</v>
      </c>
      <c r="D237">
        <v>6.3849999999999998</v>
      </c>
      <c r="E237">
        <v>462.75</v>
      </c>
      <c r="F237">
        <v>1119.5</v>
      </c>
      <c r="G237">
        <v>336.8</v>
      </c>
      <c r="H237">
        <v>51.56</v>
      </c>
      <c r="O237">
        <v>469</v>
      </c>
      <c r="P237">
        <v>672.3</v>
      </c>
      <c r="Q237">
        <v>1.6525000000000001</v>
      </c>
      <c r="R237">
        <v>2.1911</v>
      </c>
      <c r="S237">
        <v>627.75</v>
      </c>
      <c r="T237">
        <v>58.44</v>
      </c>
      <c r="U237">
        <v>62.05</v>
      </c>
      <c r="V237">
        <v>1.7218</v>
      </c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24"/>
      <c r="BA237" s="24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</row>
    <row r="238" spans="1:77" x14ac:dyDescent="0.25">
      <c r="A238" s="2">
        <v>45979</v>
      </c>
      <c r="B238">
        <v>605.75</v>
      </c>
      <c r="C238">
        <v>601.5</v>
      </c>
      <c r="D238">
        <v>6.38</v>
      </c>
      <c r="E238">
        <v>469.25</v>
      </c>
      <c r="F238">
        <v>1127</v>
      </c>
      <c r="G238">
        <v>337.4</v>
      </c>
      <c r="H238">
        <v>52.53</v>
      </c>
      <c r="O238">
        <v>473</v>
      </c>
      <c r="P238">
        <v>676.2</v>
      </c>
      <c r="Q238">
        <v>1.6675</v>
      </c>
      <c r="R238">
        <v>2.2372000000000001</v>
      </c>
      <c r="S238">
        <v>635.25</v>
      </c>
      <c r="T238">
        <v>59.74</v>
      </c>
      <c r="U238">
        <v>63.34</v>
      </c>
      <c r="V238">
        <v>1.7569999999999999</v>
      </c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4"/>
      <c r="BA238" s="24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</row>
    <row r="239" spans="1:77" x14ac:dyDescent="0.25">
      <c r="A239" s="2">
        <v>45978</v>
      </c>
      <c r="B239">
        <v>607</v>
      </c>
      <c r="C239">
        <v>602.25</v>
      </c>
      <c r="D239">
        <v>6.3574999999999999</v>
      </c>
      <c r="E239">
        <v>469.75</v>
      </c>
      <c r="F239">
        <v>1129</v>
      </c>
      <c r="G239">
        <v>341.6</v>
      </c>
      <c r="H239">
        <v>51.66</v>
      </c>
      <c r="O239">
        <v>473.25</v>
      </c>
      <c r="P239">
        <v>675.4</v>
      </c>
      <c r="Q239">
        <v>1.6850000000000001</v>
      </c>
      <c r="R239">
        <v>2.2115</v>
      </c>
      <c r="S239">
        <v>634.75</v>
      </c>
      <c r="T239">
        <v>59.39</v>
      </c>
      <c r="U239">
        <v>62.98</v>
      </c>
      <c r="V239">
        <v>1.7496</v>
      </c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4"/>
      <c r="BA239" s="24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</row>
    <row r="240" spans="1:77" x14ac:dyDescent="0.25">
      <c r="A240" s="2">
        <v>45975</v>
      </c>
      <c r="B240">
        <v>592.75</v>
      </c>
      <c r="C240">
        <v>590</v>
      </c>
      <c r="D240">
        <v>6.3324999999999996</v>
      </c>
      <c r="E240">
        <v>467.25</v>
      </c>
      <c r="F240">
        <v>1115</v>
      </c>
      <c r="G240">
        <v>337.9</v>
      </c>
      <c r="H240">
        <v>50.88</v>
      </c>
      <c r="O240">
        <v>469</v>
      </c>
      <c r="P240">
        <v>671.2</v>
      </c>
      <c r="Q240">
        <v>1.6950000000000001</v>
      </c>
      <c r="R240">
        <v>2.2141000000000002</v>
      </c>
      <c r="S240">
        <v>637.5</v>
      </c>
      <c r="T240">
        <v>59.45</v>
      </c>
      <c r="U240">
        <v>63.03</v>
      </c>
      <c r="V240">
        <v>1.7614000000000001</v>
      </c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  <c r="BA240" s="24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</row>
    <row r="241" spans="1:77" x14ac:dyDescent="0.25">
      <c r="A241" s="2">
        <v>45974</v>
      </c>
      <c r="B241">
        <v>605.5</v>
      </c>
      <c r="C241">
        <v>602.25</v>
      </c>
      <c r="D241">
        <v>6.4</v>
      </c>
      <c r="E241">
        <v>473</v>
      </c>
      <c r="F241">
        <v>1121.75</v>
      </c>
      <c r="G241">
        <v>339.6</v>
      </c>
      <c r="H241">
        <v>50.92</v>
      </c>
      <c r="O241">
        <v>470.5</v>
      </c>
      <c r="P241">
        <v>674.7</v>
      </c>
      <c r="Q241">
        <v>1.7124999999999999</v>
      </c>
      <c r="R241">
        <v>2.1905000000000001</v>
      </c>
      <c r="S241">
        <v>631</v>
      </c>
      <c r="T241">
        <v>58.68</v>
      </c>
      <c r="U241">
        <v>62.27</v>
      </c>
      <c r="V241">
        <v>1.74</v>
      </c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4"/>
      <c r="BA241" s="24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</row>
    <row r="242" spans="1:77" x14ac:dyDescent="0.25">
      <c r="A242" s="2">
        <v>45973</v>
      </c>
      <c r="B242">
        <v>605.25</v>
      </c>
      <c r="C242">
        <v>601.25</v>
      </c>
      <c r="D242">
        <v>6.43</v>
      </c>
      <c r="E242">
        <v>470</v>
      </c>
      <c r="F242">
        <v>1115.75</v>
      </c>
      <c r="G242">
        <v>335</v>
      </c>
      <c r="H242">
        <v>51.23</v>
      </c>
      <c r="O242">
        <v>468.75</v>
      </c>
      <c r="P242">
        <v>675.5</v>
      </c>
      <c r="Q242">
        <v>1.7075</v>
      </c>
      <c r="R242">
        <v>2.2008000000000001</v>
      </c>
      <c r="S242">
        <v>631.5</v>
      </c>
      <c r="T242">
        <v>58.71</v>
      </c>
      <c r="U242">
        <v>62.27</v>
      </c>
      <c r="V242">
        <v>1.7454000000000001</v>
      </c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  <c r="AY242" s="24"/>
      <c r="AZ242" s="24"/>
      <c r="BA242" s="24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</row>
    <row r="243" spans="1:77" x14ac:dyDescent="0.25">
      <c r="A243" s="2">
        <v>45972</v>
      </c>
      <c r="B243">
        <v>602.25</v>
      </c>
      <c r="C243">
        <v>598.25</v>
      </c>
      <c r="D243">
        <v>6.4074999999999998</v>
      </c>
      <c r="E243">
        <v>470</v>
      </c>
      <c r="F243">
        <v>1112</v>
      </c>
      <c r="G243">
        <v>330.7</v>
      </c>
      <c r="H243">
        <v>51.61</v>
      </c>
      <c r="O243">
        <v>470.5</v>
      </c>
      <c r="Q243">
        <v>1.7075</v>
      </c>
      <c r="R243">
        <v>2.2507999999999999</v>
      </c>
      <c r="S243">
        <v>644.25</v>
      </c>
      <c r="T243">
        <v>60.69</v>
      </c>
      <c r="U243">
        <v>64.22</v>
      </c>
      <c r="V243">
        <v>1.7909999999999999</v>
      </c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  <c r="AY243" s="24"/>
      <c r="AZ243" s="24"/>
      <c r="BA243" s="24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</row>
    <row r="244" spans="1:77" x14ac:dyDescent="0.25">
      <c r="A244" s="2">
        <v>45971</v>
      </c>
      <c r="B244">
        <v>598</v>
      </c>
      <c r="C244">
        <v>595.5</v>
      </c>
      <c r="D244">
        <v>6.375</v>
      </c>
      <c r="E244">
        <v>467.75</v>
      </c>
      <c r="F244">
        <v>1110.5</v>
      </c>
      <c r="G244">
        <v>332.6</v>
      </c>
      <c r="H244">
        <v>51.18</v>
      </c>
      <c r="O244">
        <v>470.25</v>
      </c>
      <c r="P244">
        <v>676.1</v>
      </c>
      <c r="Q244">
        <v>1.7</v>
      </c>
      <c r="R244">
        <v>2.2229000000000001</v>
      </c>
      <c r="S244">
        <v>633.25</v>
      </c>
      <c r="T244">
        <v>59.99</v>
      </c>
      <c r="U244">
        <v>63.54</v>
      </c>
      <c r="V244">
        <v>1.7679</v>
      </c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  <c r="AU244" s="24"/>
      <c r="AV244" s="24"/>
      <c r="AW244" s="24"/>
      <c r="AX244" s="24"/>
      <c r="AY244" s="24"/>
      <c r="AZ244" s="24"/>
      <c r="BA244" s="2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</row>
    <row r="245" spans="1:77" x14ac:dyDescent="0.25">
      <c r="A245" s="2">
        <v>45968</v>
      </c>
      <c r="B245">
        <v>589.75</v>
      </c>
      <c r="C245">
        <v>586.5</v>
      </c>
      <c r="D245">
        <v>6.31</v>
      </c>
      <c r="E245">
        <v>464</v>
      </c>
      <c r="F245">
        <v>1100.5</v>
      </c>
      <c r="G245">
        <v>332</v>
      </c>
      <c r="H245">
        <v>50.26</v>
      </c>
      <c r="O245">
        <v>470.5</v>
      </c>
      <c r="P245">
        <v>673.3</v>
      </c>
      <c r="Q245">
        <v>1.6924999999999999</v>
      </c>
      <c r="R245">
        <v>2.2121</v>
      </c>
      <c r="S245">
        <v>634.5</v>
      </c>
      <c r="T245">
        <v>59.77</v>
      </c>
      <c r="U245">
        <v>63.31</v>
      </c>
      <c r="V245">
        <v>1.7599</v>
      </c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  <c r="AV245" s="24"/>
      <c r="AW245" s="24"/>
      <c r="AX245" s="24"/>
      <c r="AY245" s="24"/>
      <c r="AZ245" s="24"/>
      <c r="BA245" s="24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</row>
    <row r="246" spans="1:77" x14ac:dyDescent="0.25">
      <c r="A246" s="2">
        <v>45967</v>
      </c>
      <c r="B246">
        <v>596.5</v>
      </c>
      <c r="C246">
        <v>591.75</v>
      </c>
      <c r="D246">
        <v>6.3049999999999997</v>
      </c>
      <c r="E246">
        <v>465</v>
      </c>
      <c r="F246">
        <v>1096.25</v>
      </c>
      <c r="G246">
        <v>331.3</v>
      </c>
      <c r="H246">
        <v>49.82</v>
      </c>
      <c r="O246">
        <v>466.25</v>
      </c>
      <c r="P246">
        <v>668.1</v>
      </c>
      <c r="Q246">
        <v>1.7</v>
      </c>
      <c r="R246">
        <v>2.2061000000000002</v>
      </c>
      <c r="S246">
        <v>632.75</v>
      </c>
      <c r="T246">
        <v>59.49</v>
      </c>
      <c r="U246">
        <v>63.03</v>
      </c>
      <c r="V246">
        <v>1.7509999999999999</v>
      </c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  <c r="AV246" s="24"/>
      <c r="AW246" s="24"/>
      <c r="AX246" s="24"/>
      <c r="AY246" s="24"/>
      <c r="AZ246" s="24"/>
      <c r="BA246" s="24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</row>
    <row r="247" spans="1:77" x14ac:dyDescent="0.25">
      <c r="A247" s="2">
        <v>45966</v>
      </c>
      <c r="B247">
        <v>610.5</v>
      </c>
      <c r="C247">
        <v>605</v>
      </c>
      <c r="D247">
        <v>6.3274999999999997</v>
      </c>
      <c r="E247">
        <v>468.75</v>
      </c>
      <c r="F247">
        <v>1111.5</v>
      </c>
      <c r="G247">
        <v>335.6</v>
      </c>
      <c r="H247">
        <v>50.12</v>
      </c>
      <c r="O247">
        <v>469.5</v>
      </c>
      <c r="P247">
        <v>670.6</v>
      </c>
      <c r="Q247">
        <v>1.71</v>
      </c>
      <c r="R247">
        <v>2.1947000000000001</v>
      </c>
      <c r="S247">
        <v>638</v>
      </c>
      <c r="T247">
        <v>59.57</v>
      </c>
      <c r="U247">
        <v>63.24</v>
      </c>
      <c r="V247">
        <v>1.7526999999999999</v>
      </c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  <c r="AX247" s="24"/>
      <c r="AY247" s="24"/>
      <c r="AZ247" s="24"/>
      <c r="BA247" s="24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</row>
    <row r="248" spans="1:77" x14ac:dyDescent="0.25">
      <c r="A248" s="2">
        <v>45965</v>
      </c>
      <c r="B248">
        <v>608.75</v>
      </c>
      <c r="C248">
        <v>601.5</v>
      </c>
      <c r="D248">
        <v>6.3449999999999998</v>
      </c>
      <c r="E248">
        <v>465.75</v>
      </c>
      <c r="F248">
        <v>1103</v>
      </c>
      <c r="G248">
        <v>330.4</v>
      </c>
      <c r="H248">
        <v>50.12</v>
      </c>
      <c r="O248">
        <v>468.75</v>
      </c>
      <c r="P248">
        <v>671.6</v>
      </c>
      <c r="Q248">
        <v>1.7050000000000001</v>
      </c>
      <c r="R248">
        <v>2.2176</v>
      </c>
      <c r="S248">
        <v>637.25</v>
      </c>
      <c r="T248">
        <v>60.15</v>
      </c>
      <c r="U248">
        <v>63.84</v>
      </c>
      <c r="V248">
        <v>1.7664</v>
      </c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  <c r="AY248" s="24"/>
      <c r="AZ248" s="24"/>
      <c r="BA248" s="24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</row>
    <row r="249" spans="1:77" x14ac:dyDescent="0.25">
      <c r="A249" s="2">
        <v>45964</v>
      </c>
      <c r="B249">
        <v>607</v>
      </c>
      <c r="C249">
        <v>602.5</v>
      </c>
      <c r="D249">
        <v>6.3775000000000004</v>
      </c>
      <c r="E249">
        <v>467.75</v>
      </c>
      <c r="F249">
        <v>1113.5</v>
      </c>
      <c r="G249">
        <v>335</v>
      </c>
      <c r="H249">
        <v>50.36</v>
      </c>
      <c r="O249">
        <v>468.25</v>
      </c>
      <c r="P249">
        <v>677.9</v>
      </c>
      <c r="Q249">
        <v>1.7075</v>
      </c>
      <c r="R249">
        <v>2.2105999999999999</v>
      </c>
      <c r="S249">
        <v>639.25</v>
      </c>
      <c r="T249">
        <v>60.32</v>
      </c>
      <c r="U249">
        <v>63.99</v>
      </c>
      <c r="V249">
        <v>1.7674000000000001</v>
      </c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4"/>
      <c r="AU249" s="24"/>
      <c r="AV249" s="24"/>
      <c r="AW249" s="24"/>
      <c r="AX249" s="24"/>
      <c r="AY249" s="24"/>
      <c r="AZ249" s="24"/>
      <c r="BA249" s="24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</row>
    <row r="250" spans="1:77" x14ac:dyDescent="0.25">
      <c r="A250" s="2">
        <v>45961</v>
      </c>
      <c r="B250">
        <v>597</v>
      </c>
      <c r="C250">
        <v>589.5</v>
      </c>
      <c r="D250">
        <v>6.35</v>
      </c>
      <c r="E250">
        <v>463.5</v>
      </c>
      <c r="F250">
        <v>1106</v>
      </c>
      <c r="G250">
        <v>335</v>
      </c>
      <c r="H250">
        <v>49.29</v>
      </c>
      <c r="O250">
        <v>469.5</v>
      </c>
      <c r="P250">
        <v>668.5</v>
      </c>
      <c r="Q250">
        <v>1.7075</v>
      </c>
      <c r="R250">
        <v>2.2040999999999999</v>
      </c>
      <c r="S250">
        <v>632</v>
      </c>
      <c r="T250">
        <v>60.05</v>
      </c>
      <c r="U250">
        <v>63.74</v>
      </c>
      <c r="V250">
        <v>1.7599</v>
      </c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  <c r="AU250" s="24"/>
      <c r="AV250" s="24"/>
      <c r="AW250" s="24"/>
      <c r="AX250" s="24"/>
      <c r="AY250" s="24"/>
      <c r="AZ250" s="24"/>
      <c r="BA250" s="24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</row>
    <row r="251" spans="1:77" x14ac:dyDescent="0.25">
      <c r="A251" s="2">
        <v>45960</v>
      </c>
      <c r="B251">
        <v>595.5</v>
      </c>
      <c r="C251">
        <v>589</v>
      </c>
      <c r="D251">
        <v>6.33</v>
      </c>
      <c r="E251">
        <v>464.5</v>
      </c>
      <c r="F251">
        <v>1095.75</v>
      </c>
      <c r="G251">
        <v>329.6</v>
      </c>
      <c r="H251">
        <v>50.01</v>
      </c>
      <c r="O251">
        <v>472</v>
      </c>
      <c r="P251">
        <v>678</v>
      </c>
      <c r="Q251">
        <v>1.7175</v>
      </c>
      <c r="R251">
        <v>2.2092000000000001</v>
      </c>
      <c r="S251">
        <v>633.75</v>
      </c>
      <c r="T251">
        <v>60.03</v>
      </c>
      <c r="U251">
        <v>63.77</v>
      </c>
      <c r="V251">
        <v>1.7642</v>
      </c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4"/>
      <c r="AU251" s="24"/>
      <c r="AV251" s="24"/>
      <c r="AW251" s="24"/>
      <c r="AX251" s="24"/>
      <c r="AY251" s="24"/>
      <c r="AZ251" s="24"/>
      <c r="BA251" s="24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</row>
    <row r="252" spans="1:77" x14ac:dyDescent="0.25">
      <c r="A252" s="2">
        <v>45959</v>
      </c>
      <c r="B252">
        <v>597.5</v>
      </c>
      <c r="C252">
        <v>596.25</v>
      </c>
      <c r="D252">
        <v>6.3975</v>
      </c>
      <c r="E252">
        <v>464.75</v>
      </c>
      <c r="F252">
        <v>1098.5</v>
      </c>
      <c r="G252">
        <v>326.39999999999998</v>
      </c>
      <c r="H252">
        <v>50.28</v>
      </c>
      <c r="O252">
        <v>469.5</v>
      </c>
      <c r="P252">
        <v>675.7</v>
      </c>
      <c r="Q252">
        <v>1.7024999999999999</v>
      </c>
      <c r="R252">
        <v>2.2052999999999998</v>
      </c>
      <c r="S252">
        <v>633.5</v>
      </c>
      <c r="T252">
        <v>60.01</v>
      </c>
      <c r="U252">
        <v>63.76</v>
      </c>
      <c r="V252">
        <v>1.7638</v>
      </c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4"/>
      <c r="AU252" s="24"/>
      <c r="AV252" s="24"/>
      <c r="AW252" s="24"/>
      <c r="AX252" s="24"/>
      <c r="AY252" s="24"/>
      <c r="AZ252" s="24"/>
      <c r="BA252" s="24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</row>
    <row r="253" spans="1:77" x14ac:dyDescent="0.25">
      <c r="A253" s="2">
        <v>45958</v>
      </c>
      <c r="B253">
        <v>600.25</v>
      </c>
      <c r="C253">
        <v>599.5</v>
      </c>
      <c r="D253">
        <v>6.45</v>
      </c>
      <c r="E253">
        <v>466.5</v>
      </c>
      <c r="F253">
        <v>1103</v>
      </c>
      <c r="G253">
        <v>325.10000000000002</v>
      </c>
      <c r="H253">
        <v>50.48</v>
      </c>
      <c r="O253">
        <v>470.75</v>
      </c>
      <c r="P253">
        <v>676.9</v>
      </c>
      <c r="Q253">
        <v>1.7075</v>
      </c>
      <c r="R253">
        <v>2.1886000000000001</v>
      </c>
      <c r="S253">
        <v>628.75</v>
      </c>
      <c r="T253">
        <v>59.69</v>
      </c>
      <c r="U253">
        <v>63.44</v>
      </c>
      <c r="V253">
        <v>1.7544999999999999</v>
      </c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24"/>
      <c r="AT253" s="24"/>
      <c r="AU253" s="24"/>
      <c r="AV253" s="24"/>
      <c r="AW253" s="24"/>
      <c r="AX253" s="24"/>
      <c r="AY253" s="24"/>
      <c r="AZ253" s="24"/>
      <c r="BA253" s="24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</row>
    <row r="254" spans="1:77" x14ac:dyDescent="0.25">
      <c r="A254" s="2">
        <v>45957</v>
      </c>
      <c r="B254">
        <v>595</v>
      </c>
      <c r="C254">
        <v>592.75</v>
      </c>
      <c r="D254">
        <v>6.4325000000000001</v>
      </c>
      <c r="E254">
        <v>466</v>
      </c>
      <c r="F254">
        <v>1094</v>
      </c>
      <c r="G254">
        <v>318.10000000000002</v>
      </c>
      <c r="H254">
        <v>50.96</v>
      </c>
      <c r="O254">
        <v>472</v>
      </c>
      <c r="P254">
        <v>671.9</v>
      </c>
      <c r="Q254">
        <v>1.6950000000000001</v>
      </c>
      <c r="R254">
        <v>2.2075999999999998</v>
      </c>
      <c r="S254">
        <v>636.25</v>
      </c>
      <c r="T254">
        <v>59.91</v>
      </c>
      <c r="U254">
        <v>63.65</v>
      </c>
      <c r="V254">
        <v>1.7630999999999999</v>
      </c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4"/>
      <c r="AU254" s="24"/>
      <c r="AV254" s="24"/>
      <c r="AW254" s="24"/>
      <c r="AX254" s="24"/>
      <c r="AY254" s="24"/>
      <c r="AZ254" s="24"/>
      <c r="BA254" s="2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</row>
    <row r="255" spans="1:77" x14ac:dyDescent="0.25">
      <c r="A255" s="2">
        <v>45954</v>
      </c>
      <c r="B255">
        <v>580.5</v>
      </c>
      <c r="C255">
        <v>577.75</v>
      </c>
      <c r="D255">
        <v>6.37</v>
      </c>
      <c r="E255">
        <v>459.5</v>
      </c>
      <c r="F255">
        <v>1080.5</v>
      </c>
      <c r="G255">
        <v>311.7</v>
      </c>
      <c r="H255">
        <v>50.43</v>
      </c>
      <c r="O255">
        <v>470</v>
      </c>
      <c r="P255">
        <v>674.9</v>
      </c>
      <c r="Q255">
        <v>1.68</v>
      </c>
      <c r="R255">
        <v>2.2081</v>
      </c>
      <c r="S255">
        <v>636</v>
      </c>
      <c r="T255">
        <v>59.85</v>
      </c>
      <c r="U255">
        <v>63.61</v>
      </c>
      <c r="V255">
        <v>1.7576000000000001</v>
      </c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24"/>
      <c r="AU255" s="24"/>
      <c r="AV255" s="24"/>
      <c r="AW255" s="24"/>
      <c r="AX255" s="24"/>
      <c r="AY255" s="24"/>
      <c r="AZ255" s="24"/>
      <c r="BA255" s="24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</row>
    <row r="256" spans="1:77" x14ac:dyDescent="0.25">
      <c r="A256" s="2">
        <v>45953</v>
      </c>
      <c r="B256">
        <v>580</v>
      </c>
      <c r="C256">
        <v>576.5</v>
      </c>
      <c r="D256">
        <v>6.3949999999999996</v>
      </c>
      <c r="E256">
        <v>461</v>
      </c>
      <c r="F256">
        <v>1080.5</v>
      </c>
      <c r="G256">
        <v>307.7</v>
      </c>
      <c r="H256">
        <v>50.89</v>
      </c>
      <c r="O256">
        <v>472.5</v>
      </c>
      <c r="P256">
        <v>675.9</v>
      </c>
      <c r="Q256">
        <v>1.69</v>
      </c>
      <c r="R256">
        <v>2.2031000000000001</v>
      </c>
      <c r="S256">
        <v>633.25</v>
      </c>
      <c r="T256">
        <v>59.76</v>
      </c>
      <c r="U256">
        <v>63.54</v>
      </c>
      <c r="V256">
        <v>1.7601</v>
      </c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  <c r="AS256" s="24"/>
      <c r="AT256" s="24"/>
      <c r="AU256" s="24"/>
      <c r="AV256" s="24"/>
      <c r="AW256" s="24"/>
      <c r="AX256" s="24"/>
      <c r="AY256" s="24"/>
      <c r="AZ256" s="24"/>
      <c r="BA256" s="24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</row>
    <row r="257" spans="1:77" x14ac:dyDescent="0.25">
      <c r="A257" s="2">
        <v>45952</v>
      </c>
      <c r="B257">
        <v>572.75</v>
      </c>
      <c r="C257">
        <v>567.75</v>
      </c>
      <c r="D257">
        <v>6.2949999999999999</v>
      </c>
      <c r="E257">
        <v>456.75</v>
      </c>
      <c r="F257">
        <v>1070.75</v>
      </c>
      <c r="G257">
        <v>309.8</v>
      </c>
      <c r="H257">
        <v>50.27</v>
      </c>
      <c r="O257">
        <v>467.75</v>
      </c>
      <c r="P257">
        <v>669.2</v>
      </c>
      <c r="Q257">
        <v>1.6875</v>
      </c>
      <c r="R257">
        <v>2.1389999999999998</v>
      </c>
      <c r="S257">
        <v>613.75</v>
      </c>
      <c r="T257">
        <v>59.02</v>
      </c>
      <c r="U257">
        <v>62.7</v>
      </c>
      <c r="V257">
        <v>1.7298</v>
      </c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4"/>
      <c r="AU257" s="24"/>
      <c r="AV257" s="24"/>
      <c r="AW257" s="24"/>
      <c r="AX257" s="24"/>
      <c r="AY257" s="24"/>
      <c r="AZ257" s="24"/>
      <c r="BA257" s="24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</row>
    <row r="258" spans="1:77" x14ac:dyDescent="0.25">
      <c r="A258" s="2">
        <v>45951</v>
      </c>
      <c r="B258">
        <v>570.75</v>
      </c>
      <c r="C258">
        <v>566</v>
      </c>
      <c r="D258">
        <v>6.2850000000000001</v>
      </c>
      <c r="E258">
        <v>455</v>
      </c>
      <c r="F258">
        <v>1072.75</v>
      </c>
      <c r="G258">
        <v>310.3</v>
      </c>
      <c r="H258">
        <v>50.74</v>
      </c>
      <c r="O258">
        <v>460.75</v>
      </c>
      <c r="P258">
        <v>670.6</v>
      </c>
      <c r="Q258">
        <v>1.68</v>
      </c>
      <c r="R258">
        <v>2.1095999999999999</v>
      </c>
      <c r="S258">
        <v>605.75</v>
      </c>
      <c r="T258">
        <v>58.22</v>
      </c>
      <c r="U258">
        <v>61.91</v>
      </c>
      <c r="V258">
        <v>1.7052</v>
      </c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  <c r="AT258" s="24"/>
      <c r="AU258" s="24"/>
      <c r="AV258" s="24"/>
      <c r="AW258" s="24"/>
      <c r="AX258" s="24"/>
      <c r="AY258" s="24"/>
      <c r="AZ258" s="24"/>
      <c r="BA258" s="24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</row>
    <row r="259" spans="1:77" x14ac:dyDescent="0.25">
      <c r="A259" s="2">
        <v>45950</v>
      </c>
      <c r="B259">
        <v>576.25</v>
      </c>
      <c r="C259">
        <v>570.75</v>
      </c>
      <c r="D259">
        <v>6.33</v>
      </c>
      <c r="E259">
        <v>458</v>
      </c>
      <c r="F259">
        <v>1074.25</v>
      </c>
      <c r="G259">
        <v>311.5</v>
      </c>
      <c r="H259">
        <v>51.26</v>
      </c>
      <c r="O259">
        <v>459.75</v>
      </c>
      <c r="P259">
        <v>669.5</v>
      </c>
      <c r="Q259">
        <v>1.69</v>
      </c>
      <c r="R259">
        <v>2.1080000000000001</v>
      </c>
      <c r="S259">
        <v>605</v>
      </c>
      <c r="T259">
        <v>58.33</v>
      </c>
      <c r="U259">
        <v>62.11</v>
      </c>
      <c r="V259">
        <v>1.7072000000000001</v>
      </c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4"/>
      <c r="AU259" s="24"/>
      <c r="AV259" s="24"/>
      <c r="AW259" s="24"/>
      <c r="AX259" s="24"/>
      <c r="AY259" s="24"/>
      <c r="AZ259" s="24"/>
      <c r="BA259" s="24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</row>
    <row r="260" spans="1:77" x14ac:dyDescent="0.25">
      <c r="A260" s="2">
        <v>45947</v>
      </c>
      <c r="B260">
        <v>573.75</v>
      </c>
      <c r="C260">
        <v>571.75</v>
      </c>
      <c r="D260">
        <v>6.32</v>
      </c>
      <c r="E260">
        <v>457.5</v>
      </c>
      <c r="F260">
        <v>1064.25</v>
      </c>
      <c r="G260">
        <v>307</v>
      </c>
      <c r="H260">
        <v>50.92</v>
      </c>
      <c r="O260">
        <v>456.75</v>
      </c>
      <c r="P260">
        <v>664.2</v>
      </c>
      <c r="Q260">
        <v>1.6575</v>
      </c>
      <c r="R260">
        <v>2.1091000000000002</v>
      </c>
      <c r="S260">
        <v>603.5</v>
      </c>
      <c r="T260">
        <v>58.37</v>
      </c>
      <c r="U260">
        <v>62.17</v>
      </c>
      <c r="V260">
        <v>1.7146999999999999</v>
      </c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4"/>
      <c r="AU260" s="24"/>
      <c r="AV260" s="24"/>
      <c r="AW260" s="24"/>
      <c r="AX260" s="24"/>
      <c r="AY260" s="24"/>
      <c r="AZ260" s="24"/>
      <c r="BA260" s="24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</row>
    <row r="261" spans="1:77" x14ac:dyDescent="0.25">
      <c r="A261" s="2">
        <v>45946</v>
      </c>
      <c r="B261">
        <v>573.25</v>
      </c>
      <c r="C261">
        <v>570</v>
      </c>
      <c r="D261">
        <v>6.3274999999999997</v>
      </c>
      <c r="E261">
        <v>457.25</v>
      </c>
      <c r="F261">
        <v>1058</v>
      </c>
      <c r="G261">
        <v>304</v>
      </c>
      <c r="H261">
        <v>50.63</v>
      </c>
      <c r="O261">
        <v>460</v>
      </c>
      <c r="P261">
        <v>667</v>
      </c>
      <c r="Q261">
        <v>1.6375</v>
      </c>
      <c r="R261">
        <v>2.0897000000000001</v>
      </c>
      <c r="S261">
        <v>606.5</v>
      </c>
      <c r="T261">
        <v>57.87</v>
      </c>
      <c r="U261">
        <v>61.6</v>
      </c>
      <c r="V261">
        <v>1.6998</v>
      </c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  <c r="AU261" s="24"/>
      <c r="AV261" s="24"/>
      <c r="AW261" s="24"/>
      <c r="AX261" s="24"/>
      <c r="AY261" s="24"/>
      <c r="AZ261" s="24"/>
      <c r="BA261" s="24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</row>
  </sheetData>
  <phoneticPr fontId="4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<?xml version="1.0" encoding="utf-8"?>
<argus-direct-storage xmlns="urn:argus-direct-storage:queries">{
  "FileFormat": "Argus Direct query file",
  "FileFormatVersion": "1.0.0.0",
  "FileCreated": "2026-10-23T10:45:26.8897423Z",
  "UserId": -1,
  "Description": null,
  "Queries": {}
}</argus-direct-storage>
</file>

<file path=customXml/itemProps1.xml><?xml version="1.0" encoding="utf-8"?>
<ds:datastoreItem xmlns:ds="http://schemas.openxmlformats.org/officeDocument/2006/customXml" ds:itemID="{9CAEA537-08A5-43F5-8BB4-9EC8E994F7D5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771A8AD-85AF-4D38-8236-AE98FF21530C}">
  <ds:schemaRefs>
    <ds:schemaRef ds:uri="urn:argus-direct-storage:quer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Instrument</vt:lpstr>
      <vt:lpstr>DataBackup</vt:lpstr>
      <vt:lpstr>Data</vt:lpstr>
      <vt:lpstr>VaR</vt:lpstr>
      <vt:lpstr>Volatility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 Cheng Guan</dc:creator>
  <cp:lastModifiedBy>Hui Cheng Guan</cp:lastModifiedBy>
  <dcterms:created xsi:type="dcterms:W3CDTF">2015-06-05T18:17:20Z</dcterms:created>
  <dcterms:modified xsi:type="dcterms:W3CDTF">2026-10-23T10:45:27Z</dcterms:modified>
</cp:coreProperties>
</file>